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336199E8-DD0D-48F6-8EC1-0F89DE76BCAD}" xr6:coauthVersionLast="47" xr6:coauthVersionMax="47" xr10:uidLastSave="{00000000-0000-0000-0000-000000000000}"/>
  <bookViews>
    <workbookView xWindow="0" yWindow="0" windowWidth="12288" windowHeight="8856" firstSheet="1" activeTab="1" xr2:uid="{00000000-000D-0000-FFFF-FFFF00000000}"/>
  </bookViews>
  <sheets>
    <sheet name="Sheet1" sheetId="1" r:id="rId1"/>
    <sheet name="Interface" sheetId="2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K3" i="2"/>
  <c r="J3" i="2"/>
  <c r="E21" i="2" l="1"/>
</calcChain>
</file>

<file path=xl/sharedStrings.xml><?xml version="1.0" encoding="utf-8"?>
<sst xmlns="http://schemas.openxmlformats.org/spreadsheetml/2006/main" count="2704" uniqueCount="80">
  <si>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</si>
  <si>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</si>
  <si>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</si>
  <si>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</si>
  <si>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</si>
  <si>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</si>
  <si>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</si>
  <si>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</si>
  <si>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</si>
  <si>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</si>
  <si>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</si>
  <si>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</si>
  <si>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</si>
  <si>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</si>
  <si>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</si>
  <si>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</si>
  <si>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</si>
  <si>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</si>
  <si>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</si>
  <si>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</si>
  <si>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</si>
  <si>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</si>
  <si>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</si>
  <si>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</si>
  <si>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</si>
  <si>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</si>
  <si>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</si>
  <si>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</si>
  <si>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</si>
  <si>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</si>
  <si>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</si>
  <si>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</si>
  <si>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</si>
  <si>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</si>
  <si>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</si>
  <si>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</si>
  <si>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</si>
  <si>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</si>
  <si>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</si>
  <si>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</si>
  <si>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</si>
  <si>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</si>
  <si>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</si>
  <si>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</si>
  <si>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</si>
  <si>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</si>
  <si>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</si>
  <si>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</si>
  <si>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</si>
  <si>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</si>
  <si>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</si>
  <si>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</si>
  <si>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</si>
  <si>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</si>
  <si>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</si>
  <si>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D:\MAIZSIM07\FieldTest0506\BeltsNF inputs.xlsx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</si>
  <si>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</si>
  <si>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</si>
  <si>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</si>
  <si>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</si>
  <si>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</si>
  <si>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</si>
  <si>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</si>
  <si>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</si>
  <si>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</si>
  <si>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</si>
  <si>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</si>
  <si>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</si>
  <si>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</si>
  <si>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D:\MAIZSIM07\Kansas</t>
  </si>
  <si>
    <t>D:\MAIZSIM07\Kansas\Kansas Inputs.xlsx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</si>
  <si>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</si>
  <si>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</si>
  <si>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</si>
  <si>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</si>
  <si>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</si>
  <si>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D:\maizsim07\SolarCorr</t>
  </si>
  <si>
    <t>D:\MAIZSIM07\SolarCorr\SolarCorr inputs.xlsx</t>
  </si>
  <si>
    <t>used in classim</t>
  </si>
  <si>
    <t>This version for the gas exchange branch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</si>
</sst>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</xdr:row>
          <xdr:rowOff>152400</xdr:rowOff>
        </xdr:from>
        <xdr:to>
          <xdr:col>6</xdr:col>
          <xdr:colOff>123825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5" x14ac:dyDescent="0.25"/>
  <cols>
    <col min="1" max="1" width="18.28515625" customWidth="1"/>
  </cols>
  <sheetData>
    <row r="1" spans="1:39" x14ac:dyDescent="0.25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25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25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25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25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25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25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25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25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25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25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25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25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25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25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25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25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25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25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25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25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25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25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25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25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25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25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25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25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25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25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25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25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25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25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25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25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25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25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25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25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25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25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25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25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25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25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25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25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25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25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25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25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25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25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25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25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25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25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25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25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25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25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25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25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25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25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25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25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25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25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25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25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25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25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25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25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25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25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25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25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25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25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25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25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25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25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25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25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25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25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25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25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25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25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25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25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25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25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25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25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25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25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25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25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25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25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25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25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25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25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25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25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25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25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25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25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25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25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25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25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25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25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25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25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25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25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25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25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25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25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25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25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25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25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25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25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25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25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25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25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25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25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25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25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25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25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25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25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25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25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25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25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25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25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25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25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25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25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25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25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25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25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25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25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25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25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25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25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25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25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25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25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25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25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25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25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25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25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25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25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25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25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25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25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25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25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25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25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25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25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25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25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25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25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25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25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25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25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25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25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25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25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25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25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25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25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25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25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25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25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25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25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25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25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25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25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25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25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25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25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25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25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25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25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25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25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25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25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25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25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25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25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25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25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25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25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25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25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25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25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25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25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25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25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25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25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25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25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25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25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25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25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25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25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25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25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25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25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25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25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25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25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25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25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25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25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25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25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25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25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25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25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25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25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25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25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25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25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25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25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25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25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25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25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25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25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25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25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25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25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25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25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25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25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25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25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25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25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25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25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25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25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25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25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25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25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25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25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25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25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25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25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25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25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25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25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25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25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25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25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25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25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25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25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25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25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25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25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25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25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25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25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25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25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25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25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25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25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25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25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25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25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25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25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25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25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25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25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25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25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25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25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25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25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25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25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25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25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25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25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25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25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25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25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25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25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25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25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25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25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25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25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25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25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25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25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25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25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25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25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25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25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25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25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25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25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25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25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25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25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25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25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25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25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25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25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25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25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25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25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25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25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25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25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25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25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25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25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25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25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25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25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25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25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25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25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25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25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25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25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25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25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25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25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25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25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25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25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25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25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25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25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25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25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25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25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25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25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25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25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25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25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25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25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25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25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25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25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25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25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25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25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25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25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25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25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25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25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25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25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25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25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25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25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25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25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25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25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25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25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25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25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25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25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25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25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25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25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25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25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25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25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25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25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25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25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25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25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25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25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25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25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25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25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25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25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25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25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25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25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25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25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25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25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25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25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25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25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25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25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25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25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25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25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25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25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25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25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25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25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25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25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25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25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25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25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25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25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25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25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25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25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25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25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25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25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25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25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25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25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25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25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25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25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25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25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25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25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25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25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25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25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25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25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25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25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25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25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25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25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25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25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25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25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25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25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25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25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25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25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25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25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25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25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25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25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25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25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25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25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25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25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25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25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25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25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25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25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25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25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25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25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25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25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25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25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25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25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25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25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25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25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25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25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25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25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25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25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25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25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25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25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25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25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25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25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25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25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25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25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25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25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25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25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25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25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25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25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25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25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25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25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25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25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25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25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25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25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25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25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25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25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25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25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25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25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25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25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25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25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25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25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25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25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25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25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25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25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25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25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25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25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25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25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25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25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25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25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25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25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25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25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25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25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25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25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25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25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25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25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25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25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25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25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25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25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25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25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25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25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25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25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25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25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25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25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25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25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25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25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25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25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25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25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25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25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25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25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25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25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25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25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25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25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25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25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25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25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25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25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25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25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25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25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25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25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25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25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25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25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25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25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25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25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25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25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25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25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25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25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25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25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25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25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25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25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25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25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25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25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25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25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25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25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25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25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25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25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25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25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25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25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25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25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25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25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25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25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25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25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25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25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25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25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25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25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25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25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25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25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25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25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25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25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25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25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25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25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25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25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25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25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25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25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25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25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25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25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25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25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25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25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25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25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25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25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25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25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25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25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25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25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25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25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25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25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25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25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25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25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25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25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25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25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25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25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25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25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25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25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25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25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25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25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25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25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25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25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25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25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25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25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25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25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25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25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25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25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25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25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25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25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25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25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25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25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25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25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25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25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25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25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25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25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25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25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25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25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25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25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25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25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25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25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25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25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25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25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25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25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25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25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25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25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25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25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25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25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25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25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25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25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25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25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25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25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25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25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25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25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25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25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25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25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25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25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25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25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25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25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25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25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25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25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25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25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25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25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25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25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25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25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25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25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25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25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25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25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25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25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25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25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25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25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25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25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25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25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25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25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25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25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25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25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25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25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25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25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25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25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25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25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25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25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25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25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25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25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25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25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25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25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25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25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25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25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25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25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25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25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25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25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25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25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25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25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25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25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25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25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25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25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25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25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25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25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25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25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25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25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25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25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25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25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25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25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25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25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25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25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25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25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25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25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25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25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25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25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25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25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25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25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25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25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25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25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25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25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25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25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25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25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25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25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25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25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25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25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25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25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25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25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25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25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25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25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25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25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25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25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25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25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25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25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25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25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25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25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25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25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25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25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25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25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25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25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25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25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25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25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25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25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25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25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25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25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25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25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25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25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25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25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25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25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25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25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25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25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25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25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25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25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25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25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25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25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25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25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25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25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25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25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25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25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25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25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25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25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25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25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25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25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25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25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25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25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25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25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25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25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25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25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25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25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25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25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25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25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25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25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25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25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25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25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25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25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25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25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25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25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25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25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25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25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25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25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25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25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25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25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25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25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25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25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25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25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25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25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25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25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25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25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25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25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25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25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25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25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25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25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25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25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25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25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25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25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25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25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25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25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25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25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25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25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25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25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25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25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25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25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25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25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25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25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25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25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25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25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25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25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25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25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25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25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25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25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25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25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25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25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25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25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25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25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25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25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25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25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25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25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25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25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25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25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25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25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25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25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25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25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25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25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25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25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25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25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25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25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25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25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25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25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25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25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25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25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25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25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25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25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25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25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25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25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25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25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25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25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25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25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25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25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25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25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25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25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25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25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25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25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25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25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25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25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25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25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25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25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25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25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25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25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25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25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25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25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25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25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25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25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25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25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25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25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25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25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25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25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25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25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25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25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25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25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25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25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25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25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25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25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25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25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25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25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25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25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25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25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25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25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25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25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25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25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25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25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25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25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25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25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25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25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25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25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25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25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25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25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25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25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25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25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25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25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25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25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25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25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25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25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25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25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25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25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25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25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25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25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25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25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25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25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25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25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25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25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25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25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25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25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25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25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25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25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25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25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25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25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25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25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25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25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25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25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25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25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25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25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25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25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25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25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25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25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25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25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25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25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25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25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25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25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25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25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25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25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25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25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25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25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25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25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25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25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25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25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25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25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25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25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25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25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25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25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25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25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25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25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25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25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25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25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25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25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25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25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25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25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25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25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25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25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25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25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25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25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25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25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25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25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25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25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25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25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25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25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25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25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25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25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25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25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25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25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25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25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25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25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25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25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25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25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25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25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25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25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25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25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25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25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25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25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25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25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25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25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25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25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25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25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25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25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25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25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25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25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25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25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25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25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25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25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25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25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25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25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25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25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25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25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25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25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25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25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25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25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25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25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25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25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25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25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25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25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25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25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25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25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25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25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25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25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25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25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25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25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25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25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25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25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25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25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25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25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25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25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25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25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25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25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25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25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25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25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25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25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25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25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25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25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25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25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25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25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25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25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25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25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25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25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25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25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25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25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25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25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25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25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25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25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25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25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25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25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25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25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25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25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25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25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25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25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25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25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25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25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25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25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25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25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25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25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25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25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25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25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25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25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25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25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25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25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25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25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25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25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25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25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25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25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25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25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25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25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25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25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25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25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25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25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25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25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25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25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25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25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25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25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25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25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25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25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25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25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25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25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25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25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25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25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25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25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25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25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25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25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25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25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25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25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25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25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25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25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25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25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25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25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25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25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25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25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25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25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25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25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25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25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25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25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25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25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25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25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25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25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25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25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25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25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25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25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25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25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25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25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25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25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25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25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25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25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25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25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25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25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25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25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25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25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25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25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25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25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25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25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25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25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25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25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25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25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25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25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25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25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25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25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25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25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25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25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25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25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25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25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25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25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25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25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25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25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25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25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25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25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25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25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25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25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25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25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25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25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25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25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25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25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25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25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25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25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25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25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25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25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25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25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25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25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25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25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25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25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25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25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25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25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25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25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25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25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25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25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25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25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25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25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25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25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25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25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25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25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25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25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25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25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25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25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25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25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25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25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25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25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25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25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25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25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25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25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25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25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25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25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25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25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25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25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25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25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25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25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25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25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25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25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25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25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25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25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25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25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25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25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25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25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25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25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25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25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25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25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25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25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25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25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25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25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25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25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25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25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25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25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25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25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25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25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25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25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25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25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25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25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25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25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25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25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25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25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25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25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25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25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25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25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25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25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25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25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25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25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25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25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25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25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25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25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25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25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25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25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25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25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25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25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25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25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25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25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25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25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25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25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25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25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25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25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25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25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25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25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25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25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25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25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25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25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25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25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25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25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25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25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25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25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25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25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25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25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25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25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25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25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25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25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25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25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25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25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25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25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25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25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25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25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25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25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25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25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25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25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25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25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25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25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25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25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25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25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25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25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25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25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25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25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25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25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25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25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25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25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25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25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25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25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25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25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25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25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25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25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25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25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25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25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25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25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25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25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25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25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25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25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25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25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25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25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25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25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25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25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25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25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25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25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25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25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25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25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25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25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25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25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25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25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25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25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25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25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25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25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25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25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25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25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25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25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25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25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25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25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25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25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25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25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25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25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25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25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25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25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25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25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25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25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25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25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25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25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25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25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25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25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25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25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25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25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25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25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25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25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25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25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25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25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25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25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25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25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25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25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25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25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25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25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25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25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25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25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25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25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25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25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25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25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25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25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25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25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25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25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25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25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25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25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25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25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25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25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25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25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25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25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25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25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25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25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25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25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25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25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25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25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25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25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25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25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25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25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25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25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25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25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25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25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25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25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25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25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25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25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25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25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25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25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25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25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25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25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25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25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25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25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25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25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25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25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25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25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25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25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25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25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25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25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25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25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25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25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25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25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25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25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25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25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25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25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25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25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25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25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25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25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25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25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25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25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25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25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25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25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25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25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25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25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25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25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25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25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25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25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25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25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25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25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25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25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25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25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25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25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25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25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25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25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25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25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25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25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25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25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25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25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25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25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25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25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25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25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25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25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25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25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25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25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25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25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25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25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25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25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25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25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25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25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25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25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25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25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25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25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25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25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25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25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25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25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25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25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25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25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25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25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25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25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25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25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25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25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25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25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25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25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25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25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25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25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25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25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25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25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25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25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25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25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25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25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25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25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25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25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25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25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25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25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25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25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25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25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25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25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25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25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25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25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25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25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25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25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25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25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25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25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25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25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25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25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25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25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25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25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25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25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25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25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25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25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25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25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25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25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25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25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25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25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25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25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25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25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25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25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25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25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25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25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25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25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25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25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25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25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25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25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25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25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25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25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25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25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25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25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25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25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25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25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25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25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25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25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25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25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25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25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25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25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25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25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25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25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25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25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25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25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25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25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25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25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25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25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25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25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25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25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25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25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25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25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25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25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25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25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25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25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25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25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25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25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25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25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25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25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25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25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25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25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25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25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25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25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25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25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25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25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25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25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25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25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25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25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25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25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25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25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25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25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25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25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25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25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25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25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25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25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25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25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25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25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25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25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25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25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25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25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25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25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25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25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25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25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25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25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25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25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25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25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25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25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25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25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25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25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25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25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25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25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25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25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25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25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25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25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25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25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25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25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25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25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25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25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25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25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25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25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25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25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25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25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25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25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25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25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25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25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25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25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25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25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25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25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25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25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25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25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25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25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25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25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25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25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25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25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25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25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25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25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25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25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25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25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25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25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25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25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25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25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25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25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25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25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25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25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25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25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25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25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25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25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25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25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25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25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25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25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25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25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25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25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25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25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25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25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25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25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25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25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25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25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25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25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25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25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25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25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25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25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25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25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25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25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25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25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25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25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25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25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25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68"/>
  <sheetViews>
    <sheetView tabSelected="1" workbookViewId="0">
      <selection activeCell="B4" sqref="B4"/>
    </sheetView>
  </sheetViews>
  <sheetFormatPr defaultRowHeight="15" x14ac:dyDescent="0.25"/>
  <cols>
    <col min="1" max="1" width="16.140625" customWidth="1"/>
    <col min="2" max="2" width="54.5703125" customWidth="1"/>
  </cols>
  <sheetData>
    <row r="1" spans="1:11" x14ac:dyDescent="0.25">
      <c r="A1" t="s">
        <v>44</v>
      </c>
      <c r="B1" t="s">
        <v>67</v>
      </c>
    </row>
    <row r="2" spans="1:11" x14ac:dyDescent="0.25">
      <c r="A2" t="s">
        <v>45</v>
      </c>
      <c r="B2" t="s">
        <v>68</v>
      </c>
    </row>
    <row r="3" spans="1:11" x14ac:dyDescent="0.25">
      <c r="A3" t="s">
        <v>46</v>
      </c>
      <c r="B3" t="s">
        <v>68</v>
      </c>
      <c r="J3">
        <f>8.45*10^4</f>
        <v>84500</v>
      </c>
      <c r="K3">
        <f>J3*0.008</f>
        <v>676</v>
      </c>
    </row>
    <row r="4" spans="1:11" x14ac:dyDescent="0.25">
      <c r="A4" t="s">
        <v>47</v>
      </c>
      <c r="B4" t="s">
        <v>48</v>
      </c>
      <c r="J4">
        <f>12*24</f>
        <v>288</v>
      </c>
    </row>
    <row r="5" spans="1:11" x14ac:dyDescent="0.25">
      <c r="A5" t="s">
        <v>59</v>
      </c>
      <c r="B5" t="s">
        <v>60</v>
      </c>
    </row>
    <row r="7" spans="1:11" x14ac:dyDescent="0.25">
      <c r="A7" t="s">
        <v>79</v>
      </c>
    </row>
    <row r="8" spans="1:11" x14ac:dyDescent="0.25">
      <c r="A8" t="s">
        <v>78</v>
      </c>
    </row>
    <row r="10" spans="1:11" x14ac:dyDescent="0.25">
      <c r="A10" t="s">
        <v>61</v>
      </c>
    </row>
    <row r="11" spans="1:11" x14ac:dyDescent="0.25">
      <c r="A11" t="s">
        <v>63</v>
      </c>
    </row>
    <row r="12" spans="1:11" x14ac:dyDescent="0.25">
      <c r="A12" t="s">
        <v>62</v>
      </c>
    </row>
    <row r="13" spans="1:11" x14ac:dyDescent="0.25">
      <c r="A13" t="s">
        <v>64</v>
      </c>
    </row>
    <row r="14" spans="1:11" x14ac:dyDescent="0.25">
      <c r="A14" t="s">
        <v>65</v>
      </c>
    </row>
    <row r="15" spans="1:11" x14ac:dyDescent="0.25">
      <c r="A15" t="s">
        <v>66</v>
      </c>
    </row>
    <row r="17" spans="1:5" x14ac:dyDescent="0.25">
      <c r="A17" t="s">
        <v>44</v>
      </c>
      <c r="B17" t="s">
        <v>49</v>
      </c>
    </row>
    <row r="18" spans="1:5" x14ac:dyDescent="0.25">
      <c r="A18" t="s">
        <v>45</v>
      </c>
      <c r="B18" t="s">
        <v>50</v>
      </c>
    </row>
    <row r="19" spans="1:5" x14ac:dyDescent="0.25">
      <c r="A19" t="s">
        <v>46</v>
      </c>
      <c r="B19" t="s">
        <v>50</v>
      </c>
    </row>
    <row r="20" spans="1:5" x14ac:dyDescent="0.25">
      <c r="A20" t="s">
        <v>47</v>
      </c>
      <c r="B20" t="s">
        <v>48</v>
      </c>
    </row>
    <row r="21" spans="1:5" x14ac:dyDescent="0.25">
      <c r="E21">
        <f>1000000*1.3</f>
        <v>1300000</v>
      </c>
    </row>
    <row r="23" spans="1:5" x14ac:dyDescent="0.25">
      <c r="A23" t="s">
        <v>44</v>
      </c>
      <c r="B23" t="s">
        <v>55</v>
      </c>
    </row>
    <row r="24" spans="1:5" x14ac:dyDescent="0.25">
      <c r="A24" t="s">
        <v>45</v>
      </c>
      <c r="B24" t="s">
        <v>56</v>
      </c>
    </row>
    <row r="25" spans="1:5" x14ac:dyDescent="0.25">
      <c r="A25" t="s">
        <v>46</v>
      </c>
      <c r="B25" t="s">
        <v>56</v>
      </c>
    </row>
    <row r="26" spans="1:5" x14ac:dyDescent="0.25">
      <c r="A26" t="s">
        <v>47</v>
      </c>
      <c r="B26" t="s">
        <v>48</v>
      </c>
    </row>
    <row r="28" spans="1:5" x14ac:dyDescent="0.25">
      <c r="A28" t="s">
        <v>44</v>
      </c>
      <c r="B28" t="s">
        <v>51</v>
      </c>
    </row>
    <row r="29" spans="1:5" x14ac:dyDescent="0.25">
      <c r="A29" t="s">
        <v>45</v>
      </c>
      <c r="B29" t="s">
        <v>52</v>
      </c>
    </row>
    <row r="30" spans="1:5" x14ac:dyDescent="0.25">
      <c r="A30" t="s">
        <v>46</v>
      </c>
      <c r="B30" t="s">
        <v>52</v>
      </c>
    </row>
    <row r="31" spans="1:5" x14ac:dyDescent="0.25">
      <c r="A31" t="s">
        <v>47</v>
      </c>
      <c r="B31" t="s">
        <v>48</v>
      </c>
    </row>
    <row r="34" spans="1:2" x14ac:dyDescent="0.25">
      <c r="A34" t="s">
        <v>44</v>
      </c>
      <c r="B34" t="s">
        <v>53</v>
      </c>
    </row>
    <row r="35" spans="1:2" x14ac:dyDescent="0.25">
      <c r="A35" t="s">
        <v>45</v>
      </c>
      <c r="B35" t="s">
        <v>54</v>
      </c>
    </row>
    <row r="36" spans="1:2" x14ac:dyDescent="0.25">
      <c r="A36" t="s">
        <v>46</v>
      </c>
      <c r="B36" t="s">
        <v>54</v>
      </c>
    </row>
    <row r="37" spans="1:2" x14ac:dyDescent="0.25">
      <c r="A37" t="s">
        <v>47</v>
      </c>
      <c r="B37" t="s">
        <v>48</v>
      </c>
    </row>
    <row r="39" spans="1:2" x14ac:dyDescent="0.25">
      <c r="A39" t="s">
        <v>44</v>
      </c>
      <c r="B39" t="s">
        <v>57</v>
      </c>
    </row>
    <row r="40" spans="1:2" x14ac:dyDescent="0.25">
      <c r="A40" t="s">
        <v>45</v>
      </c>
      <c r="B40" t="s">
        <v>58</v>
      </c>
    </row>
    <row r="41" spans="1:2" x14ac:dyDescent="0.25">
      <c r="A41" t="s">
        <v>46</v>
      </c>
      <c r="B41" t="s">
        <v>58</v>
      </c>
    </row>
    <row r="42" spans="1:2" x14ac:dyDescent="0.25">
      <c r="A42" t="s">
        <v>47</v>
      </c>
      <c r="B42" t="s">
        <v>48</v>
      </c>
    </row>
    <row r="44" spans="1:2" x14ac:dyDescent="0.25">
      <c r="A44" t="s">
        <v>44</v>
      </c>
      <c r="B44" t="s">
        <v>67</v>
      </c>
    </row>
    <row r="45" spans="1:2" x14ac:dyDescent="0.25">
      <c r="A45" t="s">
        <v>45</v>
      </c>
      <c r="B45" t="s">
        <v>68</v>
      </c>
    </row>
    <row r="46" spans="1:2" x14ac:dyDescent="0.25">
      <c r="A46" t="s">
        <v>46</v>
      </c>
      <c r="B46" t="s">
        <v>68</v>
      </c>
    </row>
    <row r="48" spans="1:2" x14ac:dyDescent="0.25">
      <c r="A48" t="s">
        <v>44</v>
      </c>
      <c r="B48" t="s">
        <v>70</v>
      </c>
    </row>
    <row r="49" spans="1:2" x14ac:dyDescent="0.25">
      <c r="A49" t="s">
        <v>45</v>
      </c>
      <c r="B49" t="s">
        <v>69</v>
      </c>
    </row>
    <row r="50" spans="1:2" x14ac:dyDescent="0.25">
      <c r="A50" t="s">
        <v>46</v>
      </c>
      <c r="B50" t="s">
        <v>69</v>
      </c>
    </row>
    <row r="52" spans="1:2" x14ac:dyDescent="0.25">
      <c r="A52" t="s">
        <v>44</v>
      </c>
      <c r="B52" t="s">
        <v>72</v>
      </c>
    </row>
    <row r="53" spans="1:2" x14ac:dyDescent="0.25">
      <c r="A53" t="s">
        <v>45</v>
      </c>
      <c r="B53" t="s">
        <v>71</v>
      </c>
    </row>
    <row r="54" spans="1:2" x14ac:dyDescent="0.25">
      <c r="A54" t="s">
        <v>46</v>
      </c>
      <c r="B54" t="s">
        <v>71</v>
      </c>
    </row>
    <row r="56" spans="1:2" x14ac:dyDescent="0.25">
      <c r="A56" t="s">
        <v>44</v>
      </c>
      <c r="B56" t="s">
        <v>73</v>
      </c>
    </row>
    <row r="57" spans="1:2" x14ac:dyDescent="0.25">
      <c r="A57" t="s">
        <v>45</v>
      </c>
      <c r="B57" t="s">
        <v>74</v>
      </c>
    </row>
    <row r="58" spans="1:2" x14ac:dyDescent="0.25">
      <c r="A58" t="s">
        <v>46</v>
      </c>
      <c r="B58" t="s">
        <v>74</v>
      </c>
    </row>
    <row r="60" spans="1:2" x14ac:dyDescent="0.25">
      <c r="A60" t="s">
        <v>44</v>
      </c>
      <c r="B60" t="s">
        <v>75</v>
      </c>
    </row>
    <row r="61" spans="1:2" x14ac:dyDescent="0.25">
      <c r="A61" t="s">
        <v>45</v>
      </c>
      <c r="B61" t="s">
        <v>71</v>
      </c>
    </row>
    <row r="62" spans="1:2" x14ac:dyDescent="0.25">
      <c r="A62" t="s">
        <v>46</v>
      </c>
      <c r="B62" t="s">
        <v>71</v>
      </c>
    </row>
    <row r="63" spans="1:2" x14ac:dyDescent="0.25">
      <c r="A63" t="s">
        <v>47</v>
      </c>
      <c r="B63" t="s">
        <v>48</v>
      </c>
    </row>
    <row r="64" spans="1:2" x14ac:dyDescent="0.25">
      <c r="A64" t="s">
        <v>59</v>
      </c>
      <c r="B64" t="s">
        <v>60</v>
      </c>
    </row>
    <row r="66" spans="1:2" x14ac:dyDescent="0.25">
      <c r="A66" t="s">
        <v>44</v>
      </c>
      <c r="B66" t="s">
        <v>77</v>
      </c>
    </row>
    <row r="67" spans="1:2" x14ac:dyDescent="0.25">
      <c r="A67" t="s">
        <v>45</v>
      </c>
      <c r="B67" t="s">
        <v>76</v>
      </c>
    </row>
    <row r="68" spans="1:2" x14ac:dyDescent="0.25">
      <c r="A68" t="s">
        <v>46</v>
      </c>
      <c r="B68" t="s">
        <v>76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238125</xdr:colOff>
                    <xdr:row>4</xdr:row>
                    <xdr:rowOff>152400</xdr:rowOff>
                  </from>
                  <to>
                    <xdr:col>6</xdr:col>
                    <xdr:colOff>123825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E2C694CC1F88642861534EB8EFB590F" ma:contentTypeVersion="0" ma:contentTypeDescription="Create a new document." ma:contentTypeScope="" ma:versionID="ec27351bc387ce9738bdabc715c235f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40b2b3ca9fa13fa6df1513fd0a1a19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974B0F8-D637-4701-B82A-1CC02F9763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2022-11-18T13:09:43Z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