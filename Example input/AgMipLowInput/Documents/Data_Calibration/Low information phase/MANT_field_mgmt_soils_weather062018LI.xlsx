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gmip\data_maize\Calibration\Low information\"/>
    </mc:Choice>
  </mc:AlternateContent>
  <bookViews>
    <workbookView xWindow="360" yWindow="36" windowWidth="8916" windowHeight="2112"/>
  </bookViews>
  <sheets>
    <sheet name="Field-mgmt" sheetId="1" r:id="rId1"/>
    <sheet name="Soils" sheetId="3" r:id="rId2"/>
    <sheet name="Weather" sheetId="9" r:id="rId3"/>
  </sheets>
  <definedNames>
    <definedName name="_xlnm._FilterDatabase" localSheetId="2" hidden="1">Weather!$A$10:$AI$740</definedName>
  </definedNames>
  <calcPr calcId="162913"/>
</workbook>
</file>

<file path=xl/calcChain.xml><?xml version="1.0" encoding="utf-8"?>
<calcChain xmlns="http://schemas.openxmlformats.org/spreadsheetml/2006/main">
  <c r="O24" i="3" l="1"/>
  <c r="O25" i="3"/>
  <c r="O23" i="3"/>
  <c r="B11" i="9" l="1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M68" i="1" l="1"/>
  <c r="M67" i="1"/>
  <c r="F76" i="1"/>
  <c r="F74" i="1"/>
</calcChain>
</file>

<file path=xl/sharedStrings.xml><?xml version="1.0" encoding="utf-8"?>
<sst xmlns="http://schemas.openxmlformats.org/spreadsheetml/2006/main" count="494" uniqueCount="273">
  <si>
    <t>AP002</t>
  </si>
  <si>
    <t>Event</t>
  </si>
  <si>
    <t>Fertilizer</t>
  </si>
  <si>
    <t>Planting</t>
  </si>
  <si>
    <t>%</t>
  </si>
  <si>
    <t>Soil layer base depth</t>
  </si>
  <si>
    <t>text</t>
  </si>
  <si>
    <t>year</t>
  </si>
  <si>
    <t>code</t>
  </si>
  <si>
    <t>cm</t>
  </si>
  <si>
    <t>kg/ha</t>
  </si>
  <si>
    <t>ppm</t>
  </si>
  <si>
    <t>Soil texture</t>
  </si>
  <si>
    <t>mm</t>
  </si>
  <si>
    <t>kg[N]/ha</t>
  </si>
  <si>
    <t>g/cm3</t>
  </si>
  <si>
    <t>Weather station id</t>
  </si>
  <si>
    <t>#</t>
  </si>
  <si>
    <t>!</t>
  </si>
  <si>
    <t>! Definitions</t>
  </si>
  <si>
    <t>! Units</t>
  </si>
  <si>
    <t>Experiment name</t>
  </si>
  <si>
    <t>Location</t>
  </si>
  <si>
    <t>Duration of experiment</t>
  </si>
  <si>
    <t>Latitude</t>
  </si>
  <si>
    <t>decimal degrees</t>
  </si>
  <si>
    <t>Longitude</t>
  </si>
  <si>
    <t>Soil id</t>
  </si>
  <si>
    <t>institution</t>
  </si>
  <si>
    <t>local_name</t>
  </si>
  <si>
    <t>exp_dur</t>
  </si>
  <si>
    <t>fl_lat</t>
  </si>
  <si>
    <t>fl_long</t>
  </si>
  <si>
    <t>soil_id</t>
  </si>
  <si>
    <t>sllb</t>
  </si>
  <si>
    <t>sloc</t>
  </si>
  <si>
    <t>slbdm</t>
  </si>
  <si>
    <t>slll</t>
  </si>
  <si>
    <t>sldul</t>
  </si>
  <si>
    <t>slsat</t>
  </si>
  <si>
    <t>Organic C</t>
  </si>
  <si>
    <t>g[C]/100g</t>
  </si>
  <si>
    <t>Bulk density</t>
  </si>
  <si>
    <t>mm3/mm3</t>
  </si>
  <si>
    <t>sl_source</t>
  </si>
  <si>
    <t>sltx</t>
  </si>
  <si>
    <t>icbl</t>
  </si>
  <si>
    <t>ich2o</t>
  </si>
  <si>
    <t>icnh4</t>
  </si>
  <si>
    <t>icno3</t>
  </si>
  <si>
    <t>Initial conditions date</t>
  </si>
  <si>
    <t>Previous crop code</t>
  </si>
  <si>
    <t>Initial surface residue</t>
  </si>
  <si>
    <t>kg[dry matter]/ha</t>
  </si>
  <si>
    <t>Initial root residue</t>
  </si>
  <si>
    <t>Initial residue N conc</t>
  </si>
  <si>
    <t>Initial water content</t>
  </si>
  <si>
    <t>Initial ammonium conc</t>
  </si>
  <si>
    <t>Initial nitrate conc</t>
  </si>
  <si>
    <t>icdat</t>
  </si>
  <si>
    <t>icpcr</t>
  </si>
  <si>
    <t>icrag</t>
  </si>
  <si>
    <t>icrn</t>
  </si>
  <si>
    <t>icrt</t>
  </si>
  <si>
    <t>Irrigation type code</t>
  </si>
  <si>
    <t>Sprinkler</t>
  </si>
  <si>
    <t>Irrigation amount</t>
  </si>
  <si>
    <t>Fertilizer type code</t>
  </si>
  <si>
    <t>Fertilizer application code</t>
  </si>
  <si>
    <t>Incorporation depth</t>
  </si>
  <si>
    <t>Fertilizer N</t>
  </si>
  <si>
    <t>Type of event</t>
  </si>
  <si>
    <t>Date of event</t>
  </si>
  <si>
    <t>Crop ID</t>
  </si>
  <si>
    <t>Cultivar ID</t>
  </si>
  <si>
    <t>Additional data about cultivar</t>
  </si>
  <si>
    <t>Plant population</t>
  </si>
  <si>
    <t>#/m2</t>
  </si>
  <si>
    <t>Emergence date</t>
  </si>
  <si>
    <t>! Summary information</t>
  </si>
  <si>
    <t>Anthesis date</t>
  </si>
  <si>
    <t>Physiological maturity date</t>
  </si>
  <si>
    <t>Lower limit</t>
  </si>
  <si>
    <t>Drained upper limit</t>
  </si>
  <si>
    <t>Saturation</t>
  </si>
  <si>
    <t>! Initial Conditions Section</t>
  </si>
  <si>
    <t>! Management Events Section</t>
  </si>
  <si>
    <t>! Observed Data Section</t>
  </si>
  <si>
    <t>yyyy-mm-dd</t>
  </si>
  <si>
    <t>! Metadata / Field Data Section</t>
  </si>
  <si>
    <t>pdate</t>
  </si>
  <si>
    <t>! Field Experiment Data Template</t>
  </si>
  <si>
    <t>Legend:</t>
  </si>
  <si>
    <t>Comment</t>
  </si>
  <si>
    <t>Summary data variable names</t>
  </si>
  <si>
    <t>Series data variable names (time series or soil layer data)</t>
  </si>
  <si>
    <t>*</t>
  </si>
  <si>
    <t>Symbol</t>
  </si>
  <si>
    <t>Column 1</t>
  </si>
  <si>
    <t>First field of data</t>
  </si>
  <si>
    <t>Column 1, headers</t>
  </si>
  <si>
    <t>Description</t>
  </si>
  <si>
    <t>Complete data (one line per experiment)</t>
  </si>
  <si>
    <t xml:space="preserve">NOTE: Dates must be in ISO-compliant yyyy-mm-dd format.  </t>
  </si>
  <si>
    <t>When exporting to csv format, please verify that the date format was preserved.</t>
  </si>
  <si>
    <t>To format dates in this format, select "Custom" format and type in "yyyy-mm-dd" under "Type:".</t>
  </si>
  <si>
    <t>Or use the Format Painter to copy the format from another field.</t>
  </si>
  <si>
    <t>! Date format</t>
  </si>
  <si>
    <t>! Legend</t>
  </si>
  <si>
    <t>Relational data requires unique id to show relationships between summary and series sections of data</t>
  </si>
  <si>
    <t>Unique id (1, 2, A, B, …)</t>
  </si>
  <si>
    <t>wst_id</t>
  </si>
  <si>
    <t>! Soil Data Template</t>
  </si>
  <si>
    <t>&lt;--Not used in this sheet</t>
  </si>
  <si>
    <t>fedate</t>
  </si>
  <si>
    <t>sl_notes</t>
  </si>
  <si>
    <t>v2.3</t>
  </si>
  <si>
    <t>site_name</t>
  </si>
  <si>
    <t>flele</t>
  </si>
  <si>
    <t>Soil texture, coarse fraction (&gt;2 mm)</t>
  </si>
  <si>
    <t>Soil texture, clay (&lt;0.002 mm)</t>
  </si>
  <si>
    <t>Soil texture, silt (0.05 to 0.002 mm)</t>
  </si>
  <si>
    <t>Cation exchange capacity</t>
  </si>
  <si>
    <t>cmol/kg</t>
  </si>
  <si>
    <t>treatment name</t>
  </si>
  <si>
    <t>TRT_NAME</t>
  </si>
  <si>
    <t>exname</t>
  </si>
  <si>
    <t>Fertilizer type value</t>
  </si>
  <si>
    <t>Fertilizer application value</t>
  </si>
  <si>
    <t>suite_name</t>
  </si>
  <si>
    <t>!YEAR</t>
  </si>
  <si>
    <t>!DOY</t>
  </si>
  <si>
    <t>! Definition</t>
  </si>
  <si>
    <t>Date</t>
  </si>
  <si>
    <t>Solar radiation</t>
  </si>
  <si>
    <t>Max daily temperature</t>
  </si>
  <si>
    <t>Min daily temperature</t>
  </si>
  <si>
    <t>Precipitation</t>
  </si>
  <si>
    <t>Daily wind run</t>
  </si>
  <si>
    <t>MJ/m2/d</t>
  </si>
  <si>
    <t>oC</t>
  </si>
  <si>
    <t>km/d</t>
  </si>
  <si>
    <t>Used for conversion of date to YYYY-MM-DD format</t>
  </si>
  <si>
    <t>Weather station ID</t>
  </si>
  <si>
    <t>Elevation</t>
  </si>
  <si>
    <t>dec. degrees</t>
  </si>
  <si>
    <t>m</t>
  </si>
  <si>
    <t>Temperature average</t>
  </si>
  <si>
    <t>Temperature amplitude (peak to trough)</t>
  </si>
  <si>
    <t>Field elevation</t>
  </si>
  <si>
    <t>Suite name - grouping of experiments</t>
  </si>
  <si>
    <t>! Weather Data Template</t>
  </si>
  <si>
    <t>Row spacing</t>
  </si>
  <si>
    <t>Planting depth</t>
  </si>
  <si>
    <t>Complete data (one line per experiment or treatment)</t>
  </si>
  <si>
    <t>pldae</t>
  </si>
  <si>
    <t>adat</t>
  </si>
  <si>
    <t>mdat</t>
  </si>
  <si>
    <t>slcly</t>
  </si>
  <si>
    <t>slsil</t>
  </si>
  <si>
    <t>slcf</t>
  </si>
  <si>
    <t>slcec</t>
  </si>
  <si>
    <t>wst_lat</t>
  </si>
  <si>
    <t>wst_long</t>
  </si>
  <si>
    <t>wst_elev</t>
  </si>
  <si>
    <t>tav</t>
  </si>
  <si>
    <t>tamp</t>
  </si>
  <si>
    <t>w_date</t>
  </si>
  <si>
    <t>!@date</t>
  </si>
  <si>
    <t>srad</t>
  </si>
  <si>
    <t>tmax</t>
  </si>
  <si>
    <t>tmin</t>
  </si>
  <si>
    <t>rain</t>
  </si>
  <si>
    <t>wind</t>
  </si>
  <si>
    <t>YRDOY</t>
  </si>
  <si>
    <t>Orig date input as YRDOY (used for calc only)</t>
  </si>
  <si>
    <t>! NOTE: These data are incomplete and do not represent actual field conditions for this experiment</t>
  </si>
  <si>
    <t>fecd</t>
  </si>
  <si>
    <t>feacd</t>
  </si>
  <si>
    <t>fedep</t>
  </si>
  <si>
    <t>feamn</t>
  </si>
  <si>
    <t>crid</t>
  </si>
  <si>
    <t>cul_id</t>
  </si>
  <si>
    <t>cul_notes</t>
  </si>
  <si>
    <t>plpop</t>
  </si>
  <si>
    <t>plrs</t>
  </si>
  <si>
    <t>pldp</t>
  </si>
  <si>
    <t>Maize</t>
  </si>
  <si>
    <t>MAZ</t>
  </si>
  <si>
    <t>LOSA</t>
  </si>
  <si>
    <t>Loamy sand</t>
  </si>
  <si>
    <t>!no irrigation</t>
  </si>
  <si>
    <t>FE005</t>
  </si>
  <si>
    <t>Urea</t>
  </si>
  <si>
    <t>Broadcast, incorporated</t>
  </si>
  <si>
    <t>Relative humidity</t>
  </si>
  <si>
    <t>rhum</t>
  </si>
  <si>
    <t>Ntarla</t>
  </si>
  <si>
    <t>V1D1</t>
  </si>
  <si>
    <t>IER, Ntarla</t>
  </si>
  <si>
    <t>Ntarla, Mali</t>
  </si>
  <si>
    <t>cot</t>
  </si>
  <si>
    <t>A</t>
  </si>
  <si>
    <t xml:space="preserve">!Soil texture - code signification </t>
  </si>
  <si>
    <t>!Fertilizer type - code signification</t>
  </si>
  <si>
    <t xml:space="preserve">!Fertilizer application - code signification </t>
  </si>
  <si>
    <t>!date in day of year</t>
  </si>
  <si>
    <t xml:space="preserve">!date in day of year </t>
  </si>
  <si>
    <t>Tillage</t>
  </si>
  <si>
    <t>tdate</t>
  </si>
  <si>
    <t>Tillage implement</t>
  </si>
  <si>
    <t>tiimp</t>
  </si>
  <si>
    <t>Animal-drawn implement</t>
  </si>
  <si>
    <t>Tillage operations depth</t>
  </si>
  <si>
    <t>tidep</t>
  </si>
  <si>
    <t>!Slope</t>
  </si>
  <si>
    <t>!%</t>
  </si>
  <si>
    <t>!Maximum rooting depth</t>
  </si>
  <si>
    <t>!cm</t>
  </si>
  <si>
    <t>mg/kg</t>
  </si>
  <si>
    <t xml:space="preserve">pH in water </t>
  </si>
  <si>
    <t>Phosphorus, extractable</t>
  </si>
  <si>
    <t>!cmol/kg</t>
  </si>
  <si>
    <t>kg[P]/ha</t>
  </si>
  <si>
    <t>kg[K]/ha</t>
  </si>
  <si>
    <t>FE999</t>
  </si>
  <si>
    <t>Compound fertiliser</t>
  </si>
  <si>
    <t>Fertilizer P</t>
  </si>
  <si>
    <t>Fertilizer K</t>
  </si>
  <si>
    <t>slpx</t>
  </si>
  <si>
    <t xml:space="preserve">Potassium, exchangeable </t>
  </si>
  <si>
    <t>slke</t>
  </si>
  <si>
    <t>slhw</t>
  </si>
  <si>
    <t>feamp</t>
  </si>
  <si>
    <t>feamk</t>
  </si>
  <si>
    <t>Organic amendments application</t>
  </si>
  <si>
    <t>omdate</t>
  </si>
  <si>
    <t>omcd</t>
  </si>
  <si>
    <t xml:space="preserve">Organic amendment  type code </t>
  </si>
  <si>
    <t xml:space="preserve">Organic amendment type value </t>
  </si>
  <si>
    <t>! Organic amendment type - code signification</t>
  </si>
  <si>
    <t>RE999</t>
  </si>
  <si>
    <t>decomposed crop residues</t>
  </si>
  <si>
    <t>Organic matter or residue added, carbon concentration,</t>
  </si>
  <si>
    <t>omnpc</t>
  </si>
  <si>
    <t>omcpc</t>
  </si>
  <si>
    <t>omppc</t>
  </si>
  <si>
    <t>omkpc</t>
  </si>
  <si>
    <t>Organic matter or residue added, N concentration</t>
  </si>
  <si>
    <t>% dry matter</t>
  </si>
  <si>
    <t>Organic materials application amount, dry weight basis kg/ha</t>
  </si>
  <si>
    <t>Organic matter or residue added, P concentration</t>
  </si>
  <si>
    <t>Organic matter or residue added, K concentration</t>
  </si>
  <si>
    <t>omamt</t>
  </si>
  <si>
    <t>MANT</t>
  </si>
  <si>
    <t>MANT100001</t>
  </si>
  <si>
    <t>MANT1001</t>
  </si>
  <si>
    <t>MANT0901</t>
  </si>
  <si>
    <t>Organic N</t>
  </si>
  <si>
    <t>g[N]/100g</t>
  </si>
  <si>
    <t>slni</t>
  </si>
  <si>
    <t>!Previous crop code signification</t>
  </si>
  <si>
    <t>cotton</t>
  </si>
  <si>
    <t>MALI</t>
  </si>
  <si>
    <t>MANT_CUL</t>
  </si>
  <si>
    <t>Open Pollinated Variety (OPV)</t>
  </si>
  <si>
    <t>! Crop residue management</t>
  </si>
  <si>
    <t>!removed from the field before tillage</t>
  </si>
  <si>
    <t xml:space="preserve">!Initial nitrate amount </t>
  </si>
  <si>
    <t xml:space="preserve">!Initial ammonium amount </t>
  </si>
  <si>
    <t>!kg/ha</t>
  </si>
  <si>
    <t>!Maximum water measurement depth</t>
  </si>
  <si>
    <t>!Maximum Nitrogen  measurement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</si>
</sst>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0.0"/>
    <numFmt numFmtId="166" formatCode="0.0%"/>
    <numFmt numFmtId="167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Border="1"/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 applyFill="1"/>
    <xf numFmtId="0" fontId="0" fillId="0" borderId="0" xfId="0" applyAlignment="1">
      <alignment wrapText="1"/>
    </xf>
    <xf numFmtId="0" fontId="0" fillId="0" borderId="0" xfId="0"/>
    <xf numFmtId="0" fontId="16" fillId="33" borderId="10" xfId="0" applyFont="1" applyFill="1" applyBorder="1"/>
    <xf numFmtId="0" fontId="16" fillId="33" borderId="10" xfId="0" applyFont="1" applyFill="1" applyBorder="1" applyAlignment="1">
      <alignment horizontal="right"/>
    </xf>
    <xf numFmtId="0" fontId="0" fillId="34" borderId="10" xfId="0" applyFont="1" applyFill="1" applyBorder="1" applyAlignment="1">
      <alignment wrapText="1"/>
    </xf>
    <xf numFmtId="0" fontId="0" fillId="34" borderId="10" xfId="0" applyFont="1" applyFill="1" applyBorder="1" applyAlignment="1">
      <alignment horizontal="right" wrapText="1"/>
    </xf>
    <xf numFmtId="0" fontId="0" fillId="34" borderId="10" xfId="0" applyFill="1" applyBorder="1" applyAlignment="1">
      <alignment horizontal="left" wrapText="1"/>
    </xf>
    <xf numFmtId="0" fontId="16" fillId="33" borderId="10" xfId="0" applyFont="1" applyFill="1" applyBorder="1" applyAlignment="1">
      <alignment horizontal="left"/>
    </xf>
    <xf numFmtId="0" fontId="0" fillId="0" borderId="0" xfId="0"/>
    <xf numFmtId="0" fontId="0" fillId="0" borderId="0" xfId="0" applyFill="1" applyBorder="1" applyAlignment="1">
      <alignment horizontal="left" wrapText="1"/>
    </xf>
    <xf numFmtId="0" fontId="0" fillId="34" borderId="10" xfId="0" applyFill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/>
    <xf numFmtId="0" fontId="0" fillId="35" borderId="0" xfId="0" applyFill="1"/>
    <xf numFmtId="0" fontId="20" fillId="35" borderId="0" xfId="0" applyFont="1" applyFill="1"/>
    <xf numFmtId="0" fontId="21" fillId="0" borderId="0" xfId="0" applyFont="1" applyFill="1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vertical="center" wrapText="1"/>
    </xf>
    <xf numFmtId="0" fontId="0" fillId="33" borderId="10" xfId="0" applyFill="1" applyBorder="1" applyAlignment="1">
      <alignment vertical="center"/>
    </xf>
    <xf numFmtId="0" fontId="0" fillId="33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6" fillId="36" borderId="10" xfId="0" applyFont="1" applyFill="1" applyBorder="1"/>
    <xf numFmtId="0" fontId="0" fillId="36" borderId="0" xfId="0" applyFill="1"/>
    <xf numFmtId="0" fontId="16" fillId="0" borderId="0" xfId="0" applyFont="1" applyFill="1" applyBorder="1" applyAlignment="1">
      <alignment horizontal="left"/>
    </xf>
    <xf numFmtId="0" fontId="0" fillId="34" borderId="10" xfId="0" applyFill="1" applyBorder="1"/>
    <xf numFmtId="0" fontId="22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right"/>
    </xf>
    <xf numFmtId="0" fontId="0" fillId="0" borderId="0" xfId="0" applyFill="1" applyBorder="1" applyAlignment="1">
      <alignment horizontal="right" wrapText="1"/>
    </xf>
    <xf numFmtId="0" fontId="0" fillId="34" borderId="10" xfId="0" applyFont="1" applyFill="1" applyBorder="1" applyAlignment="1">
      <alignment horizontal="left" wrapText="1"/>
    </xf>
    <xf numFmtId="164" fontId="0" fillId="0" borderId="0" xfId="0" applyNumberFormat="1" applyFill="1"/>
    <xf numFmtId="0" fontId="0" fillId="34" borderId="10" xfId="0" applyFill="1" applyBorder="1" applyAlignment="1">
      <alignment horizontal="left" wrapText="1"/>
    </xf>
    <xf numFmtId="0" fontId="0" fillId="34" borderId="10" xfId="0" applyFill="1" applyBorder="1" applyAlignment="1">
      <alignment wrapText="1"/>
    </xf>
    <xf numFmtId="0" fontId="0" fillId="0" borderId="0" xfId="0"/>
    <xf numFmtId="0" fontId="16" fillId="37" borderId="10" xfId="0" applyFont="1" applyFill="1" applyBorder="1" applyAlignment="1">
      <alignment horizontal="right"/>
    </xf>
    <xf numFmtId="2" fontId="16" fillId="37" borderId="10" xfId="0" applyNumberFormat="1" applyFont="1" applyFill="1" applyBorder="1" applyAlignment="1">
      <alignment horizontal="right"/>
    </xf>
    <xf numFmtId="2" fontId="0" fillId="0" borderId="0" xfId="0" applyNumberFormat="1" applyBorder="1" applyAlignment="1">
      <alignment horizontal="center" wrapText="1"/>
    </xf>
    <xf numFmtId="0" fontId="0" fillId="0" borderId="0" xfId="0" applyAlignment="1">
      <alignment vertical="center" wrapText="1" readingOrder="1"/>
    </xf>
    <xf numFmtId="0" fontId="16" fillId="0" borderId="0" xfId="0" applyFont="1" applyFill="1"/>
    <xf numFmtId="0" fontId="23" fillId="35" borderId="0" xfId="0" applyFont="1" applyFill="1"/>
    <xf numFmtId="0" fontId="23" fillId="0" borderId="0" xfId="0" applyFont="1"/>
    <xf numFmtId="164" fontId="23" fillId="0" borderId="0" xfId="0" applyNumberFormat="1" applyFont="1" applyFill="1"/>
    <xf numFmtId="0" fontId="20" fillId="0" borderId="0" xfId="0" applyFont="1" applyFill="1"/>
    <xf numFmtId="0" fontId="23" fillId="0" borderId="0" xfId="0" applyFont="1" applyFill="1"/>
    <xf numFmtId="0" fontId="23" fillId="36" borderId="0" xfId="0" applyFont="1" applyFill="1"/>
    <xf numFmtId="0" fontId="20" fillId="36" borderId="10" xfId="0" applyFont="1" applyFill="1" applyBorder="1"/>
    <xf numFmtId="0" fontId="23" fillId="34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 wrapText="1"/>
    </xf>
    <xf numFmtId="0" fontId="23" fillId="33" borderId="10" xfId="0" applyFont="1" applyFill="1" applyBorder="1" applyAlignment="1">
      <alignment vertical="center"/>
    </xf>
    <xf numFmtId="0" fontId="23" fillId="33" borderId="10" xfId="0" applyFont="1" applyFill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vertical="center"/>
    </xf>
    <xf numFmtId="0" fontId="23" fillId="0" borderId="0" xfId="0" applyFont="1" applyBorder="1"/>
    <xf numFmtId="0" fontId="23" fillId="0" borderId="0" xfId="0" applyFont="1" applyBorder="1" applyAlignment="1">
      <alignment wrapText="1"/>
    </xf>
    <xf numFmtId="0" fontId="23" fillId="36" borderId="0" xfId="0" applyFont="1" applyFill="1" applyBorder="1"/>
    <xf numFmtId="0" fontId="23" fillId="0" borderId="0" xfId="0" applyFont="1" applyFill="1" applyBorder="1"/>
    <xf numFmtId="164" fontId="23" fillId="0" borderId="0" xfId="0" applyNumberFormat="1" applyFont="1"/>
    <xf numFmtId="0" fontId="23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horizontal="right" wrapText="1"/>
    </xf>
    <xf numFmtId="0" fontId="23" fillId="34" borderId="10" xfId="0" applyFont="1" applyFill="1" applyBorder="1" applyAlignment="1">
      <alignment horizontal="center" wrapText="1"/>
    </xf>
    <xf numFmtId="0" fontId="23" fillId="0" borderId="0" xfId="0" applyFont="1" applyAlignment="1">
      <alignment wrapText="1"/>
    </xf>
    <xf numFmtId="0" fontId="23" fillId="34" borderId="10" xfId="0" applyFont="1" applyFill="1" applyBorder="1" applyAlignment="1">
      <alignment horizontal="left" wrapText="1"/>
    </xf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0" fontId="20" fillId="33" borderId="10" xfId="0" applyFont="1" applyFill="1" applyBorder="1" applyAlignment="1">
      <alignment horizontal="center"/>
    </xf>
    <xf numFmtId="0" fontId="23" fillId="0" borderId="0" xfId="0" applyFont="1" applyAlignment="1">
      <alignment horizontal="right"/>
    </xf>
    <xf numFmtId="0" fontId="23" fillId="0" borderId="0" xfId="0" applyFont="1" applyFill="1" applyAlignment="1">
      <alignment horizontal="left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right"/>
    </xf>
    <xf numFmtId="2" fontId="23" fillId="0" borderId="0" xfId="0" applyNumberFormat="1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3" fillId="0" borderId="0" xfId="0" applyFont="1" applyFill="1" applyAlignment="1">
      <alignment horizontal="right"/>
    </xf>
    <xf numFmtId="0" fontId="20" fillId="33" borderId="10" xfId="0" applyFont="1" applyFill="1" applyBorder="1"/>
    <xf numFmtId="14" fontId="23" fillId="0" borderId="0" xfId="0" applyNumberFormat="1" applyFont="1"/>
    <xf numFmtId="2" fontId="23" fillId="0" borderId="0" xfId="0" applyNumberFormat="1" applyFont="1" applyFill="1"/>
    <xf numFmtId="1" fontId="23" fillId="0" borderId="0" xfId="0" applyNumberFormat="1" applyFont="1" applyFill="1"/>
    <xf numFmtId="0" fontId="24" fillId="0" borderId="0" xfId="0" applyFont="1" applyFill="1" applyBorder="1"/>
    <xf numFmtId="0" fontId="23" fillId="33" borderId="0" xfId="0" applyFont="1" applyFill="1"/>
    <xf numFmtId="0" fontId="23" fillId="33" borderId="0" xfId="0" applyFont="1" applyFill="1" applyBorder="1" applyAlignment="1">
      <alignment horizontal="left"/>
    </xf>
    <xf numFmtId="0" fontId="23" fillId="33" borderId="0" xfId="0" applyFont="1" applyFill="1" applyAlignment="1">
      <alignment horizontal="right"/>
    </xf>
    <xf numFmtId="0" fontId="23" fillId="0" borderId="0" xfId="0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wrapText="1"/>
    </xf>
    <xf numFmtId="164" fontId="23" fillId="0" borderId="0" xfId="0" applyNumberFormat="1" applyFont="1" applyFill="1" applyAlignment="1">
      <alignment horizontal="center"/>
    </xf>
    <xf numFmtId="0" fontId="23" fillId="33" borderId="0" xfId="0" applyFont="1" applyFill="1" applyBorder="1" applyAlignment="1">
      <alignment horizontal="center"/>
    </xf>
    <xf numFmtId="164" fontId="23" fillId="0" borderId="0" xfId="0" applyNumberFormat="1" applyFont="1" applyFill="1" applyAlignment="1">
      <alignment horizontal="right"/>
    </xf>
    <xf numFmtId="0" fontId="23" fillId="0" borderId="0" xfId="0" applyFont="1" applyFill="1" applyBorder="1" applyAlignment="1">
      <alignment horizontal="right" wrapText="1"/>
    </xf>
    <xf numFmtId="0" fontId="20" fillId="33" borderId="10" xfId="0" applyFont="1" applyFill="1" applyBorder="1" applyAlignment="1">
      <alignment horizontal="right" wrapText="1"/>
    </xf>
    <xf numFmtId="165" fontId="23" fillId="0" borderId="0" xfId="0" applyNumberFormat="1" applyFont="1" applyFill="1"/>
    <xf numFmtId="165" fontId="0" fillId="0" borderId="0" xfId="0" applyNumberFormat="1"/>
    <xf numFmtId="165" fontId="0" fillId="34" borderId="10" xfId="0" applyNumberFormat="1" applyFont="1" applyFill="1" applyBorder="1" applyAlignment="1">
      <alignment horizontal="right" wrapText="1"/>
    </xf>
    <xf numFmtId="165" fontId="16" fillId="33" borderId="10" xfId="0" applyNumberFormat="1" applyFont="1" applyFill="1" applyBorder="1" applyAlignment="1">
      <alignment horizontal="right"/>
    </xf>
    <xf numFmtId="165" fontId="0" fillId="0" borderId="0" xfId="0" applyNumberFormat="1" applyFill="1"/>
    <xf numFmtId="166" fontId="0" fillId="0" borderId="0" xfId="44" applyNumberFormat="1" applyFont="1" applyFill="1"/>
    <xf numFmtId="166" fontId="0" fillId="0" borderId="0" xfId="0" applyNumberFormat="1" applyFill="1"/>
    <xf numFmtId="0" fontId="23" fillId="0" borderId="0" xfId="0" applyFont="1" applyFill="1" applyAlignment="1">
      <alignment wrapText="1"/>
    </xf>
    <xf numFmtId="0" fontId="23" fillId="34" borderId="15" xfId="0" applyFont="1" applyFill="1" applyBorder="1" applyAlignment="1">
      <alignment horizontal="left" wrapText="1"/>
    </xf>
    <xf numFmtId="9" fontId="23" fillId="0" borderId="0" xfId="44" applyFont="1" applyFill="1" applyBorder="1" applyAlignment="1">
      <alignment horizontal="left" wrapText="1"/>
    </xf>
    <xf numFmtId="0" fontId="25" fillId="38" borderId="10" xfId="0" applyNumberFormat="1" applyFont="1" applyFill="1" applyBorder="1" applyAlignment="1" applyProtection="1">
      <alignment wrapText="1"/>
    </xf>
    <xf numFmtId="0" fontId="25" fillId="38" borderId="10" xfId="0" applyNumberFormat="1" applyFont="1" applyFill="1" applyBorder="1" applyAlignment="1" applyProtection="1">
      <alignment horizontal="left" wrapText="1"/>
    </xf>
    <xf numFmtId="0" fontId="26" fillId="39" borderId="10" xfId="0" applyNumberFormat="1" applyFont="1" applyFill="1" applyBorder="1" applyAlignment="1" applyProtection="1">
      <alignment horizontal="center"/>
    </xf>
    <xf numFmtId="0" fontId="0" fillId="0" borderId="0" xfId="0" applyFill="1" applyBorder="1" applyAlignment="1">
      <alignment wrapText="1"/>
    </xf>
    <xf numFmtId="167" fontId="23" fillId="0" borderId="0" xfId="0" applyNumberFormat="1" applyFont="1" applyFill="1"/>
    <xf numFmtId="167" fontId="0" fillId="0" borderId="0" xfId="0" applyNumberFormat="1" applyFill="1"/>
    <xf numFmtId="2" fontId="23" fillId="0" borderId="0" xfId="0" applyNumberFormat="1" applyFont="1" applyFill="1" applyBorder="1"/>
    <xf numFmtId="1" fontId="0" fillId="0" borderId="0" xfId="0" applyNumberFormat="1"/>
    <xf numFmtId="1" fontId="0" fillId="0" borderId="0" xfId="0" applyNumberFormat="1" applyFill="1"/>
    <xf numFmtId="0" fontId="23" fillId="34" borderId="15" xfId="0" applyFont="1" applyFill="1" applyBorder="1" applyAlignment="1">
      <alignment horizontal="right" wrapText="1"/>
    </xf>
    <xf numFmtId="0" fontId="20" fillId="33" borderId="15" xfId="0" applyFont="1" applyFill="1" applyBorder="1" applyAlignment="1">
      <alignment horizontal="right" wrapText="1"/>
    </xf>
    <xf numFmtId="0" fontId="20" fillId="0" borderId="0" xfId="0" applyFont="1" applyFill="1" applyBorder="1" applyAlignment="1">
      <alignment horizontal="right" wrapText="1"/>
    </xf>
    <xf numFmtId="1" fontId="23" fillId="0" borderId="0" xfId="0" applyNumberFormat="1" applyFont="1" applyFill="1" applyBorder="1"/>
    <xf numFmtId="165" fontId="23" fillId="0" borderId="0" xfId="0" applyNumberFormat="1" applyFont="1" applyFill="1" applyBorder="1"/>
    <xf numFmtId="0" fontId="23" fillId="0" borderId="10" xfId="0" applyFont="1" applyBorder="1" applyAlignment="1">
      <alignment horizontal="left" vertical="center" wrapText="1"/>
    </xf>
    <xf numFmtId="0" fontId="20" fillId="36" borderId="10" xfId="0" applyFont="1" applyFill="1" applyBorder="1"/>
    <xf numFmtId="0" fontId="23" fillId="34" borderId="10" xfId="0" applyFont="1" applyFill="1" applyBorder="1" applyAlignment="1">
      <alignment horizontal="left" vertical="center" wrapText="1"/>
    </xf>
    <xf numFmtId="0" fontId="23" fillId="3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6" fillId="36" borderId="10" xfId="0" applyFont="1" applyFill="1" applyBorder="1"/>
    <xf numFmtId="0" fontId="0" fillId="34" borderId="10" xfId="0" applyFill="1" applyBorder="1" applyAlignment="1">
      <alignment horizontal="left" vertical="center" wrapText="1"/>
    </xf>
    <xf numFmtId="0" fontId="0" fillId="33" borderId="10" xfId="0" applyFill="1" applyBorder="1" applyAlignment="1">
      <alignment horizontal="left" vertical="center" wrapText="1"/>
    </xf>
    <xf numFmtId="0" fontId="0" fillId="34" borderId="11" xfId="0" applyFont="1" applyFill="1" applyBorder="1" applyAlignment="1">
      <alignment horizontal="right" wrapText="1"/>
    </xf>
    <xf numFmtId="0" fontId="0" fillId="34" borderId="12" xfId="0" applyFont="1" applyFill="1" applyBorder="1" applyAlignment="1">
      <alignment horizontal="right" wrapText="1"/>
    </xf>
    <xf numFmtId="0" fontId="0" fillId="34" borderId="13" xfId="0" applyFont="1" applyFill="1" applyBorder="1" applyAlignment="1">
      <alignment horizontal="right" wrapText="1"/>
    </xf>
    <xf numFmtId="0" fontId="0" fillId="34" borderId="14" xfId="0" applyFont="1" applyFill="1" applyBorder="1" applyAlignment="1">
      <alignment horizontal="right" wrapText="1"/>
    </xf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Hyperlink 2" xfId="43"/>
    <cellStyle name="Insatisfaisant" xfId="7" builtinId="27" customBuiltin="1"/>
    <cellStyle name="Neutre" xfId="8" builtinId="28" customBuiltin="1"/>
    <cellStyle name="Normal" xfId="0" builtinId="0"/>
    <cellStyle name="Normal 2" xfId="42"/>
    <cellStyle name="Note" xfId="15" builtinId="10" customBuiltin="1"/>
    <cellStyle name="Pourcentage" xfId="44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colors>
    <mruColors>
      <color rgb="FFFFFF61"/>
      <color rgb="FFFFFF89"/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"/>
  <sheetViews>
    <sheetView tabSelected="1" topLeftCell="A55" zoomScale="55" zoomScaleNormal="55" workbookViewId="0">
      <pane xSplit="1" topLeftCell="B1" activePane="topRight" state="frozen"/>
      <selection pane="topRight" activeCell="D88" sqref="D88:D89"/>
    </sheetView>
  </sheetViews>
  <sheetFormatPr baseColWidth="10" defaultColWidth="8.88671875" defaultRowHeight="18" x14ac:dyDescent="0.35"/>
  <cols>
    <col min="1" max="1" width="12.6640625" style="52" customWidth="1"/>
    <col min="2" max="2" width="19" style="52" customWidth="1"/>
    <col min="3" max="3" width="21.33203125" style="52" customWidth="1"/>
    <col min="4" max="4" width="20.21875" style="52" customWidth="1"/>
    <col min="5" max="5" width="19.5546875" style="52" customWidth="1"/>
    <col min="6" max="6" width="16.33203125" style="52" customWidth="1"/>
    <col min="7" max="7" width="21" style="52" customWidth="1"/>
    <col min="8" max="8" width="29.44140625" style="52" customWidth="1"/>
    <col min="9" max="9" width="25.88671875" style="52" customWidth="1"/>
    <col min="10" max="10" width="13.5546875" style="52" customWidth="1"/>
    <col min="11" max="11" width="30" style="52" bestFit="1" customWidth="1"/>
    <col min="12" max="12" width="37.6640625" style="52" customWidth="1"/>
    <col min="13" max="13" width="25.33203125" style="52" customWidth="1"/>
    <col min="14" max="14" width="29.33203125" style="52" customWidth="1"/>
    <col min="15" max="15" width="16.6640625" style="52" customWidth="1"/>
    <col min="16" max="16" width="11.33203125" style="52" customWidth="1"/>
    <col min="17" max="17" width="20" style="52" customWidth="1"/>
    <col min="18" max="18" width="11.33203125" style="52" customWidth="1"/>
    <col min="19" max="19" width="13.33203125" style="52" customWidth="1"/>
    <col min="20" max="20" width="12.77734375" style="52" customWidth="1"/>
    <col min="21" max="16384" width="8.88671875" style="52"/>
  </cols>
  <sheetData>
    <row r="1" spans="1:10" x14ac:dyDescent="0.35">
      <c r="A1" s="24" t="s">
        <v>91</v>
      </c>
      <c r="B1" s="51"/>
      <c r="C1" s="51"/>
      <c r="G1" s="52" t="s">
        <v>116</v>
      </c>
      <c r="H1" s="53">
        <v>41149</v>
      </c>
    </row>
    <row r="2" spans="1:10" s="55" customFormat="1" x14ac:dyDescent="0.35">
      <c r="A2" s="54"/>
    </row>
    <row r="3" spans="1:10" x14ac:dyDescent="0.35">
      <c r="A3" s="56" t="s">
        <v>108</v>
      </c>
      <c r="B3" s="127" t="s">
        <v>92</v>
      </c>
      <c r="C3" s="127"/>
      <c r="D3" s="127"/>
      <c r="E3" s="127"/>
      <c r="F3" s="127"/>
      <c r="G3" s="127"/>
      <c r="H3" s="127"/>
    </row>
    <row r="4" spans="1:10" x14ac:dyDescent="0.35">
      <c r="A4" s="52" t="s">
        <v>18</v>
      </c>
      <c r="B4" s="57" t="s">
        <v>97</v>
      </c>
      <c r="C4" s="57" t="s">
        <v>22</v>
      </c>
      <c r="D4" s="127" t="s">
        <v>101</v>
      </c>
      <c r="E4" s="127"/>
      <c r="F4" s="127"/>
      <c r="G4" s="127"/>
      <c r="H4" s="127"/>
    </row>
    <row r="5" spans="1:10" x14ac:dyDescent="0.35">
      <c r="A5" s="52" t="s">
        <v>18</v>
      </c>
      <c r="B5" s="58" t="s">
        <v>18</v>
      </c>
      <c r="C5" s="59" t="s">
        <v>98</v>
      </c>
      <c r="D5" s="128" t="s">
        <v>93</v>
      </c>
      <c r="E5" s="128"/>
      <c r="F5" s="128"/>
      <c r="G5" s="128"/>
      <c r="H5" s="128"/>
    </row>
    <row r="6" spans="1:10" x14ac:dyDescent="0.35">
      <c r="A6" s="52" t="s">
        <v>18</v>
      </c>
      <c r="B6" s="60" t="s">
        <v>17</v>
      </c>
      <c r="C6" s="61" t="s">
        <v>100</v>
      </c>
      <c r="D6" s="129" t="s">
        <v>94</v>
      </c>
      <c r="E6" s="129"/>
      <c r="F6" s="129"/>
      <c r="G6" s="129"/>
      <c r="H6" s="129"/>
    </row>
    <row r="7" spans="1:10" x14ac:dyDescent="0.35">
      <c r="A7" s="52" t="s">
        <v>18</v>
      </c>
      <c r="B7" s="60" t="s">
        <v>4</v>
      </c>
      <c r="C7" s="61" t="s">
        <v>100</v>
      </c>
      <c r="D7" s="129" t="s">
        <v>95</v>
      </c>
      <c r="E7" s="129"/>
      <c r="F7" s="129"/>
      <c r="G7" s="129"/>
      <c r="H7" s="129"/>
    </row>
    <row r="8" spans="1:10" ht="44.25" customHeight="1" x14ac:dyDescent="0.35">
      <c r="A8" s="52" t="s">
        <v>18</v>
      </c>
      <c r="B8" s="62" t="s">
        <v>110</v>
      </c>
      <c r="C8" s="62" t="s">
        <v>99</v>
      </c>
      <c r="D8" s="126" t="s">
        <v>109</v>
      </c>
      <c r="E8" s="126"/>
      <c r="F8" s="126"/>
      <c r="G8" s="126"/>
      <c r="H8" s="126"/>
    </row>
    <row r="9" spans="1:10" x14ac:dyDescent="0.35">
      <c r="A9" s="52" t="s">
        <v>18</v>
      </c>
      <c r="B9" s="63" t="s">
        <v>96</v>
      </c>
      <c r="C9" s="62" t="s">
        <v>99</v>
      </c>
      <c r="D9" s="126" t="s">
        <v>154</v>
      </c>
      <c r="E9" s="126"/>
      <c r="F9" s="126"/>
      <c r="G9" s="126"/>
      <c r="H9" s="126"/>
    </row>
    <row r="10" spans="1:10" x14ac:dyDescent="0.35">
      <c r="B10" s="64"/>
      <c r="C10" s="65"/>
      <c r="D10" s="64"/>
      <c r="E10" s="64"/>
      <c r="F10" s="64"/>
      <c r="G10" s="64"/>
      <c r="H10" s="64"/>
    </row>
    <row r="11" spans="1:10" x14ac:dyDescent="0.35">
      <c r="A11" s="66" t="s">
        <v>107</v>
      </c>
      <c r="B11" s="67" t="s">
        <v>103</v>
      </c>
      <c r="C11" s="65"/>
      <c r="D11" s="64"/>
      <c r="E11" s="64"/>
      <c r="F11" s="64"/>
      <c r="G11" s="64"/>
      <c r="H11" s="64"/>
    </row>
    <row r="12" spans="1:10" x14ac:dyDescent="0.35">
      <c r="A12" s="67" t="s">
        <v>18</v>
      </c>
      <c r="B12" s="67" t="s">
        <v>104</v>
      </c>
      <c r="C12" s="65"/>
      <c r="D12" s="64"/>
      <c r="E12" s="64"/>
      <c r="F12" s="64"/>
      <c r="G12" s="64"/>
      <c r="H12" s="64"/>
      <c r="I12" s="54"/>
      <c r="J12" s="55"/>
    </row>
    <row r="13" spans="1:10" x14ac:dyDescent="0.35">
      <c r="A13" s="67" t="s">
        <v>18</v>
      </c>
      <c r="B13" s="67" t="s">
        <v>105</v>
      </c>
      <c r="C13" s="65"/>
      <c r="D13" s="64"/>
      <c r="E13" s="64"/>
      <c r="F13" s="64"/>
      <c r="G13" s="64"/>
      <c r="H13" s="64"/>
    </row>
    <row r="14" spans="1:10" x14ac:dyDescent="0.35">
      <c r="A14" s="67" t="s">
        <v>18</v>
      </c>
      <c r="B14" s="67" t="s">
        <v>106</v>
      </c>
      <c r="C14" s="65"/>
      <c r="D14" s="64"/>
      <c r="E14" s="64"/>
      <c r="F14" s="64"/>
      <c r="G14" s="64"/>
      <c r="H14" s="64"/>
    </row>
    <row r="15" spans="1:10" x14ac:dyDescent="0.35">
      <c r="B15" s="68"/>
    </row>
    <row r="16" spans="1:10" x14ac:dyDescent="0.35">
      <c r="A16" s="24" t="s">
        <v>89</v>
      </c>
      <c r="B16" s="51"/>
      <c r="C16" s="51"/>
    </row>
    <row r="17" spans="1:17" x14ac:dyDescent="0.35">
      <c r="A17" s="52" t="s">
        <v>176</v>
      </c>
    </row>
    <row r="18" spans="1:17" s="72" customFormat="1" ht="54" x14ac:dyDescent="0.35">
      <c r="A18" s="69" t="s">
        <v>19</v>
      </c>
      <c r="B18" s="69" t="s">
        <v>150</v>
      </c>
      <c r="C18" s="69" t="s">
        <v>21</v>
      </c>
      <c r="D18" s="69" t="s">
        <v>124</v>
      </c>
      <c r="E18" s="69"/>
      <c r="F18" s="69"/>
      <c r="G18" s="69" t="s">
        <v>22</v>
      </c>
      <c r="H18" s="70" t="s">
        <v>23</v>
      </c>
      <c r="I18" s="70" t="s">
        <v>24</v>
      </c>
      <c r="J18" s="70" t="s">
        <v>26</v>
      </c>
      <c r="K18" s="70" t="s">
        <v>149</v>
      </c>
      <c r="L18" s="69" t="s">
        <v>16</v>
      </c>
      <c r="M18" s="71" t="s">
        <v>27</v>
      </c>
    </row>
    <row r="19" spans="1:17" s="72" customFormat="1" ht="36" x14ac:dyDescent="0.35">
      <c r="A19" s="69" t="s">
        <v>20</v>
      </c>
      <c r="B19" s="69"/>
      <c r="C19" s="69"/>
      <c r="D19" s="69"/>
      <c r="E19" s="69"/>
      <c r="F19" s="69"/>
      <c r="G19" s="69"/>
      <c r="H19" s="70" t="s">
        <v>7</v>
      </c>
      <c r="I19" s="70" t="s">
        <v>25</v>
      </c>
      <c r="J19" s="70" t="s">
        <v>25</v>
      </c>
      <c r="K19" s="70" t="s">
        <v>146</v>
      </c>
      <c r="L19" s="69"/>
      <c r="M19" s="73"/>
    </row>
    <row r="20" spans="1:17" s="77" customFormat="1" x14ac:dyDescent="0.35">
      <c r="A20" s="69" t="s">
        <v>17</v>
      </c>
      <c r="B20" s="74" t="s">
        <v>129</v>
      </c>
      <c r="C20" s="74" t="s">
        <v>126</v>
      </c>
      <c r="D20" s="74" t="s">
        <v>125</v>
      </c>
      <c r="E20" s="74" t="s">
        <v>28</v>
      </c>
      <c r="F20" s="74" t="s">
        <v>117</v>
      </c>
      <c r="G20" s="74" t="s">
        <v>29</v>
      </c>
      <c r="H20" s="75" t="s">
        <v>30</v>
      </c>
      <c r="I20" s="75" t="s">
        <v>31</v>
      </c>
      <c r="J20" s="75" t="s">
        <v>32</v>
      </c>
      <c r="K20" s="75" t="s">
        <v>118</v>
      </c>
      <c r="L20" s="76" t="s">
        <v>111</v>
      </c>
      <c r="M20" s="76" t="s">
        <v>33</v>
      </c>
    </row>
    <row r="21" spans="1:17" s="85" customFormat="1" x14ac:dyDescent="0.35">
      <c r="A21" s="67">
        <v>1</v>
      </c>
      <c r="B21" s="78"/>
      <c r="C21" s="79" t="s">
        <v>256</v>
      </c>
      <c r="D21" s="52" t="s">
        <v>198</v>
      </c>
      <c r="E21" s="79" t="s">
        <v>263</v>
      </c>
      <c r="F21" s="79" t="s">
        <v>197</v>
      </c>
      <c r="G21" s="79" t="s">
        <v>197</v>
      </c>
      <c r="H21" s="80">
        <v>1</v>
      </c>
      <c r="I21" s="81">
        <v>12.58</v>
      </c>
      <c r="J21" s="81">
        <v>-5.7</v>
      </c>
      <c r="K21" s="82">
        <v>302</v>
      </c>
      <c r="L21" s="83" t="s">
        <v>254</v>
      </c>
      <c r="M21" s="84" t="s">
        <v>255</v>
      </c>
    </row>
    <row r="22" spans="1:17" s="85" customFormat="1" x14ac:dyDescent="0.35">
      <c r="A22" s="67">
        <v>2</v>
      </c>
      <c r="C22" s="79" t="s">
        <v>257</v>
      </c>
      <c r="D22" s="52" t="s">
        <v>198</v>
      </c>
      <c r="E22" s="79" t="s">
        <v>263</v>
      </c>
      <c r="F22" s="79" t="s">
        <v>197</v>
      </c>
      <c r="G22" s="79" t="s">
        <v>197</v>
      </c>
      <c r="H22" s="80">
        <v>1</v>
      </c>
      <c r="I22" s="81">
        <v>12.58</v>
      </c>
      <c r="J22" s="81">
        <v>-5.7</v>
      </c>
      <c r="K22" s="82">
        <v>302</v>
      </c>
      <c r="L22" s="83" t="s">
        <v>254</v>
      </c>
      <c r="M22" s="84" t="s">
        <v>255</v>
      </c>
    </row>
    <row r="24" spans="1:17" x14ac:dyDescent="0.35">
      <c r="A24" s="24" t="s">
        <v>85</v>
      </c>
      <c r="B24" s="51"/>
      <c r="C24" s="51"/>
      <c r="H24" s="55"/>
      <c r="I24" s="55"/>
      <c r="J24" s="55"/>
      <c r="K24" s="55"/>
      <c r="L24" s="55"/>
    </row>
    <row r="26" spans="1:17" ht="36" x14ac:dyDescent="0.35">
      <c r="A26" s="69" t="s">
        <v>19</v>
      </c>
      <c r="B26" s="69" t="s">
        <v>50</v>
      </c>
      <c r="C26" s="73" t="s">
        <v>206</v>
      </c>
      <c r="D26" s="69" t="s">
        <v>51</v>
      </c>
      <c r="E26" s="70" t="s">
        <v>261</v>
      </c>
      <c r="F26" s="70" t="s">
        <v>52</v>
      </c>
      <c r="G26" s="70" t="s">
        <v>54</v>
      </c>
      <c r="H26" s="70" t="s">
        <v>55</v>
      </c>
      <c r="I26" s="13" t="s">
        <v>266</v>
      </c>
      <c r="J26" s="55"/>
    </row>
    <row r="27" spans="1:17" ht="36" x14ac:dyDescent="0.35">
      <c r="A27" s="69" t="s">
        <v>20</v>
      </c>
      <c r="B27" s="69" t="s">
        <v>88</v>
      </c>
      <c r="C27" s="73" t="s">
        <v>18</v>
      </c>
      <c r="D27" s="69" t="s">
        <v>8</v>
      </c>
      <c r="E27" s="70" t="s">
        <v>18</v>
      </c>
      <c r="F27" s="70" t="s">
        <v>53</v>
      </c>
      <c r="G27" s="70" t="s">
        <v>53</v>
      </c>
      <c r="H27" s="70" t="s">
        <v>4</v>
      </c>
      <c r="I27" s="13" t="s">
        <v>18</v>
      </c>
    </row>
    <row r="28" spans="1:17" x14ac:dyDescent="0.35">
      <c r="A28" s="69" t="s">
        <v>18</v>
      </c>
      <c r="B28" s="86" t="s">
        <v>59</v>
      </c>
      <c r="C28" s="73"/>
      <c r="D28" s="86" t="s">
        <v>60</v>
      </c>
      <c r="E28" s="70" t="s">
        <v>18</v>
      </c>
      <c r="F28" s="75" t="s">
        <v>61</v>
      </c>
      <c r="G28" s="75" t="s">
        <v>63</v>
      </c>
      <c r="H28" s="75" t="s">
        <v>62</v>
      </c>
      <c r="I28" s="39" t="s">
        <v>18</v>
      </c>
    </row>
    <row r="29" spans="1:17" x14ac:dyDescent="0.35">
      <c r="A29" s="52">
        <v>1</v>
      </c>
      <c r="B29" s="53">
        <v>40330</v>
      </c>
      <c r="C29" s="52">
        <v>152</v>
      </c>
      <c r="D29" s="118" t="s">
        <v>201</v>
      </c>
      <c r="E29" s="52" t="s">
        <v>262</v>
      </c>
      <c r="F29" s="89">
        <v>0</v>
      </c>
      <c r="G29" s="88">
        <v>0</v>
      </c>
      <c r="H29" s="88">
        <v>0</v>
      </c>
      <c r="I29" s="52" t="s">
        <v>267</v>
      </c>
      <c r="J29" s="87"/>
    </row>
    <row r="30" spans="1:17" x14ac:dyDescent="0.35">
      <c r="A30" s="52">
        <v>2</v>
      </c>
      <c r="B30" s="53">
        <v>39970</v>
      </c>
      <c r="C30" s="52">
        <v>157</v>
      </c>
      <c r="D30" s="118" t="s">
        <v>201</v>
      </c>
      <c r="E30" s="52" t="s">
        <v>262</v>
      </c>
      <c r="F30" s="89">
        <v>0</v>
      </c>
      <c r="G30" s="89">
        <v>0</v>
      </c>
      <c r="H30" s="88">
        <v>0</v>
      </c>
      <c r="I30" s="52" t="s">
        <v>267</v>
      </c>
    </row>
    <row r="31" spans="1:17" x14ac:dyDescent="0.35">
      <c r="B31" s="53"/>
      <c r="C31" s="88"/>
      <c r="D31" s="89"/>
      <c r="E31" s="89"/>
      <c r="F31" s="88"/>
    </row>
    <row r="32" spans="1:17" s="67" customFormat="1" ht="54" x14ac:dyDescent="0.35">
      <c r="A32" s="69" t="s">
        <v>19</v>
      </c>
      <c r="B32" s="70" t="s">
        <v>5</v>
      </c>
      <c r="C32" s="70" t="s">
        <v>56</v>
      </c>
      <c r="D32" s="70" t="s">
        <v>57</v>
      </c>
      <c r="E32" s="70" t="s">
        <v>58</v>
      </c>
      <c r="F32" s="70" t="s">
        <v>269</v>
      </c>
      <c r="G32" s="70" t="s">
        <v>268</v>
      </c>
      <c r="K32" s="90"/>
      <c r="M32" s="90"/>
      <c r="Q32" s="90"/>
    </row>
    <row r="33" spans="1:15" s="67" customFormat="1" x14ac:dyDescent="0.35">
      <c r="A33" s="69" t="s">
        <v>20</v>
      </c>
      <c r="B33" s="70" t="s">
        <v>9</v>
      </c>
      <c r="C33" s="70" t="s">
        <v>43</v>
      </c>
      <c r="D33" s="70" t="s">
        <v>11</v>
      </c>
      <c r="E33" s="70" t="s">
        <v>11</v>
      </c>
      <c r="F33" s="70" t="s">
        <v>270</v>
      </c>
      <c r="G33" s="70" t="s">
        <v>270</v>
      </c>
    </row>
    <row r="34" spans="1:15" s="67" customFormat="1" x14ac:dyDescent="0.35">
      <c r="A34" s="69" t="s">
        <v>18</v>
      </c>
      <c r="B34" s="75" t="s">
        <v>46</v>
      </c>
      <c r="C34" s="75" t="s">
        <v>47</v>
      </c>
      <c r="D34" s="75" t="s">
        <v>48</v>
      </c>
      <c r="E34" s="75" t="s">
        <v>49</v>
      </c>
      <c r="F34" s="75" t="s">
        <v>18</v>
      </c>
      <c r="G34" s="75" t="s">
        <v>18</v>
      </c>
    </row>
    <row r="35" spans="1:15" x14ac:dyDescent="0.35">
      <c r="A35" s="52">
        <v>1</v>
      </c>
      <c r="B35" s="52">
        <v>10</v>
      </c>
      <c r="C35" s="116">
        <v>0.22561</v>
      </c>
      <c r="D35" s="88">
        <v>0.44585987261146504</v>
      </c>
      <c r="E35" s="88">
        <v>1.1146496815286624</v>
      </c>
      <c r="F35" s="102">
        <v>0.70000000000000007</v>
      </c>
      <c r="G35" s="102">
        <v>1.7500000000000002</v>
      </c>
      <c r="I35" s="55"/>
      <c r="J35" s="55"/>
      <c r="K35" s="55"/>
      <c r="L35" s="55"/>
      <c r="M35" s="55"/>
      <c r="N35" s="55"/>
      <c r="O35" s="55"/>
    </row>
    <row r="36" spans="1:15" x14ac:dyDescent="0.35">
      <c r="A36" s="52">
        <v>1</v>
      </c>
      <c r="B36" s="52">
        <v>20</v>
      </c>
      <c r="C36" s="116">
        <v>0.22561</v>
      </c>
      <c r="D36" s="88">
        <v>0.44585987261146504</v>
      </c>
      <c r="E36" s="88">
        <v>1.1146496815286624</v>
      </c>
      <c r="F36" s="102">
        <v>0.70000000000000007</v>
      </c>
      <c r="G36" s="102">
        <v>1.7500000000000002</v>
      </c>
      <c r="I36" s="55"/>
      <c r="J36" s="55"/>
      <c r="K36" s="55"/>
      <c r="L36" s="55"/>
      <c r="M36" s="55"/>
      <c r="N36" s="55"/>
      <c r="O36" s="55"/>
    </row>
    <row r="37" spans="1:15" x14ac:dyDescent="0.35">
      <c r="A37" s="52">
        <v>1</v>
      </c>
      <c r="B37" s="52">
        <v>30</v>
      </c>
      <c r="C37" s="116">
        <v>0.22647999999999996</v>
      </c>
      <c r="D37" s="88">
        <v>0.40697674418604657</v>
      </c>
      <c r="E37" s="88">
        <v>1.0174418604651163</v>
      </c>
      <c r="F37" s="102">
        <v>0.7</v>
      </c>
      <c r="G37" s="102">
        <v>1.75</v>
      </c>
      <c r="I37" s="55"/>
      <c r="J37" s="55"/>
      <c r="K37" s="55"/>
      <c r="L37" s="55"/>
      <c r="M37" s="55"/>
      <c r="N37" s="55"/>
      <c r="O37" s="55"/>
    </row>
    <row r="38" spans="1:15" x14ac:dyDescent="0.35">
      <c r="A38" s="52">
        <v>1</v>
      </c>
      <c r="B38" s="52">
        <v>40</v>
      </c>
      <c r="C38" s="116">
        <v>0.20908000000000002</v>
      </c>
      <c r="D38" s="88">
        <v>0.41916167664670667</v>
      </c>
      <c r="E38" s="88">
        <v>1.0479041916167664</v>
      </c>
      <c r="F38" s="102">
        <v>0.7</v>
      </c>
      <c r="G38" s="102">
        <v>1.7499999999999998</v>
      </c>
      <c r="I38" s="55"/>
      <c r="J38" s="55"/>
      <c r="K38" s="55"/>
      <c r="L38" s="55"/>
      <c r="M38" s="55"/>
      <c r="N38" s="55"/>
      <c r="O38" s="55"/>
    </row>
    <row r="39" spans="1:15" x14ac:dyDescent="0.35">
      <c r="A39" s="52">
        <v>1</v>
      </c>
      <c r="B39" s="52">
        <v>60</v>
      </c>
      <c r="C39" s="116">
        <v>0.15426999999999999</v>
      </c>
      <c r="D39" s="88">
        <v>0.40229885057471271</v>
      </c>
      <c r="E39" s="88">
        <v>1.0057471264367817</v>
      </c>
      <c r="F39" s="102">
        <v>1.4000000000000004</v>
      </c>
      <c r="G39" s="102">
        <v>3.5</v>
      </c>
      <c r="I39" s="55"/>
      <c r="J39" s="55"/>
      <c r="K39" s="55"/>
      <c r="L39" s="55"/>
      <c r="M39" s="55"/>
      <c r="N39" s="55"/>
      <c r="O39" s="55"/>
    </row>
    <row r="40" spans="1:15" x14ac:dyDescent="0.35">
      <c r="A40" s="52">
        <v>1</v>
      </c>
      <c r="B40" s="52">
        <v>80</v>
      </c>
      <c r="C40" s="116">
        <v>0.18384999999999999</v>
      </c>
      <c r="D40" s="88">
        <v>0.42424242424242431</v>
      </c>
      <c r="E40" s="88">
        <v>1.0606060606060606</v>
      </c>
      <c r="F40" s="102">
        <v>1.4000000000000001</v>
      </c>
      <c r="G40" s="102">
        <v>3.5000000000000004</v>
      </c>
      <c r="I40" s="55"/>
      <c r="J40" s="55"/>
      <c r="K40" s="55"/>
      <c r="L40" s="55"/>
      <c r="M40" s="55"/>
      <c r="N40" s="55"/>
      <c r="O40" s="55"/>
    </row>
    <row r="41" spans="1:15" x14ac:dyDescent="0.35">
      <c r="A41" s="52">
        <v>1</v>
      </c>
      <c r="B41" s="52">
        <v>120</v>
      </c>
      <c r="C41" s="116">
        <v>0.18385000000000001</v>
      </c>
      <c r="D41" s="88">
        <v>0.42424242424242425</v>
      </c>
      <c r="E41" s="88">
        <v>1.0606060606060606</v>
      </c>
      <c r="F41" s="102">
        <v>7.0000000000000009</v>
      </c>
      <c r="G41" s="102">
        <v>6.6</v>
      </c>
      <c r="I41" s="55"/>
      <c r="J41" s="55"/>
      <c r="K41" s="55"/>
      <c r="L41" s="55"/>
      <c r="M41" s="55"/>
      <c r="N41" s="55"/>
      <c r="O41" s="55"/>
    </row>
    <row r="42" spans="1:15" x14ac:dyDescent="0.35">
      <c r="A42" s="52">
        <v>2</v>
      </c>
      <c r="B42" s="52">
        <v>10</v>
      </c>
      <c r="C42" s="116">
        <v>0.22561</v>
      </c>
      <c r="D42" s="88">
        <v>0.44585987261146504</v>
      </c>
      <c r="E42" s="88">
        <v>1.1146496815286624</v>
      </c>
      <c r="F42" s="102">
        <v>0.70000000000000007</v>
      </c>
      <c r="G42" s="102">
        <v>1.7500000000000002</v>
      </c>
      <c r="I42" s="55"/>
      <c r="J42" s="55"/>
      <c r="K42" s="55"/>
      <c r="L42" s="55"/>
      <c r="M42" s="55"/>
      <c r="N42" s="55"/>
      <c r="O42" s="55"/>
    </row>
    <row r="43" spans="1:15" x14ac:dyDescent="0.35">
      <c r="A43" s="52">
        <v>2</v>
      </c>
      <c r="B43" s="52">
        <v>20</v>
      </c>
      <c r="C43" s="116">
        <v>0.22561</v>
      </c>
      <c r="D43" s="88">
        <v>0.44585987261146504</v>
      </c>
      <c r="E43" s="88">
        <v>1.1146496815286624</v>
      </c>
      <c r="F43" s="102">
        <v>0.70000000000000007</v>
      </c>
      <c r="G43" s="102">
        <v>1.7500000000000002</v>
      </c>
      <c r="I43" s="55"/>
      <c r="J43" s="55"/>
      <c r="K43" s="55"/>
      <c r="L43" s="55"/>
      <c r="M43" s="55"/>
      <c r="N43" s="55"/>
      <c r="O43" s="55"/>
    </row>
    <row r="44" spans="1:15" x14ac:dyDescent="0.35">
      <c r="A44" s="52">
        <v>2</v>
      </c>
      <c r="B44" s="52">
        <v>30</v>
      </c>
      <c r="C44" s="116">
        <v>0.22647999999999996</v>
      </c>
      <c r="D44" s="88">
        <v>0.40697674418604657</v>
      </c>
      <c r="E44" s="88">
        <v>1.0174418604651163</v>
      </c>
      <c r="F44" s="102">
        <v>0.7</v>
      </c>
      <c r="G44" s="102">
        <v>1.75</v>
      </c>
      <c r="I44" s="55"/>
      <c r="J44" s="55"/>
      <c r="K44" s="55"/>
      <c r="L44" s="55"/>
      <c r="M44" s="55"/>
      <c r="N44" s="55"/>
      <c r="O44" s="55"/>
    </row>
    <row r="45" spans="1:15" x14ac:dyDescent="0.35">
      <c r="A45" s="52">
        <v>2</v>
      </c>
      <c r="B45" s="52">
        <v>40</v>
      </c>
      <c r="C45" s="116">
        <v>0.20908000000000002</v>
      </c>
      <c r="D45" s="88">
        <v>0.41916167664670667</v>
      </c>
      <c r="E45" s="88">
        <v>1.0479041916167664</v>
      </c>
      <c r="F45" s="102">
        <v>0.7</v>
      </c>
      <c r="G45" s="102">
        <v>1.7499999999999998</v>
      </c>
      <c r="I45" s="55"/>
      <c r="J45" s="55"/>
      <c r="K45" s="55"/>
      <c r="L45" s="55"/>
      <c r="M45" s="55"/>
      <c r="N45" s="55"/>
      <c r="O45" s="55"/>
    </row>
    <row r="46" spans="1:15" x14ac:dyDescent="0.35">
      <c r="A46" s="52">
        <v>2</v>
      </c>
      <c r="B46" s="52">
        <v>60</v>
      </c>
      <c r="C46" s="116">
        <v>0.15426999999999999</v>
      </c>
      <c r="D46" s="88">
        <v>0.40229885057471271</v>
      </c>
      <c r="E46" s="88">
        <v>1.0057471264367817</v>
      </c>
      <c r="F46" s="102">
        <v>1.4000000000000004</v>
      </c>
      <c r="G46" s="102">
        <v>3.5</v>
      </c>
      <c r="I46" s="55"/>
    </row>
    <row r="47" spans="1:15" x14ac:dyDescent="0.35">
      <c r="A47" s="52">
        <v>2</v>
      </c>
      <c r="B47" s="52">
        <v>80</v>
      </c>
      <c r="C47" s="116">
        <v>0.18384999999999999</v>
      </c>
      <c r="D47" s="88">
        <v>0.42424242424242431</v>
      </c>
      <c r="E47" s="88">
        <v>1.0606060606060606</v>
      </c>
      <c r="F47" s="102">
        <v>1.4000000000000001</v>
      </c>
      <c r="G47" s="102">
        <v>3.5000000000000004</v>
      </c>
      <c r="I47" s="55"/>
    </row>
    <row r="48" spans="1:15" x14ac:dyDescent="0.35">
      <c r="A48" s="52">
        <v>2</v>
      </c>
      <c r="B48" s="52">
        <v>120</v>
      </c>
      <c r="C48" s="116">
        <v>0.18385000000000001</v>
      </c>
      <c r="D48" s="88">
        <v>0.42424242424242425</v>
      </c>
      <c r="E48" s="88">
        <v>1.0606060606060606</v>
      </c>
      <c r="F48" s="102">
        <v>7.0000000000000009</v>
      </c>
      <c r="G48" s="102">
        <v>6.6</v>
      </c>
      <c r="I48" s="55"/>
    </row>
    <row r="51" spans="1:19" x14ac:dyDescent="0.35">
      <c r="A51" s="24" t="s">
        <v>86</v>
      </c>
      <c r="B51" s="51"/>
      <c r="C51" s="51"/>
    </row>
    <row r="53" spans="1:19" ht="36" x14ac:dyDescent="0.35">
      <c r="A53" s="73" t="s">
        <v>19</v>
      </c>
      <c r="B53" s="73" t="s">
        <v>71</v>
      </c>
      <c r="C53" s="73"/>
      <c r="D53" s="71" t="s">
        <v>72</v>
      </c>
      <c r="E53" s="69" t="s">
        <v>88</v>
      </c>
      <c r="F53" s="73" t="s">
        <v>206</v>
      </c>
      <c r="G53" s="73" t="s">
        <v>210</v>
      </c>
      <c r="H53" s="73" t="s">
        <v>6</v>
      </c>
      <c r="I53" s="110" t="s">
        <v>213</v>
      </c>
      <c r="J53" s="73" t="s">
        <v>9</v>
      </c>
      <c r="K53" s="94"/>
      <c r="L53" s="94"/>
      <c r="M53" s="100"/>
      <c r="N53" s="100"/>
      <c r="O53" s="100"/>
      <c r="P53" s="100"/>
      <c r="Q53" s="100"/>
      <c r="R53" s="100"/>
      <c r="S53" s="64"/>
    </row>
    <row r="54" spans="1:19" x14ac:dyDescent="0.35">
      <c r="A54" s="52">
        <v>1</v>
      </c>
      <c r="B54" s="52" t="s">
        <v>1</v>
      </c>
      <c r="C54" s="52" t="s">
        <v>208</v>
      </c>
      <c r="D54" s="91" t="s">
        <v>209</v>
      </c>
      <c r="E54" s="53">
        <v>40313</v>
      </c>
      <c r="F54" s="55">
        <v>135</v>
      </c>
      <c r="G54" s="92" t="s">
        <v>211</v>
      </c>
      <c r="H54" s="72" t="s">
        <v>212</v>
      </c>
      <c r="I54" s="92" t="s">
        <v>214</v>
      </c>
      <c r="J54" s="72">
        <v>20</v>
      </c>
      <c r="K54" s="55"/>
      <c r="L54" s="109"/>
      <c r="M54" s="85"/>
      <c r="N54" s="55"/>
      <c r="O54" s="85"/>
      <c r="P54" s="55"/>
      <c r="Q54" s="85"/>
      <c r="R54" s="55"/>
    </row>
    <row r="55" spans="1:19" x14ac:dyDescent="0.35">
      <c r="A55" s="52">
        <v>2</v>
      </c>
      <c r="B55" s="52" t="s">
        <v>1</v>
      </c>
      <c r="C55" s="52" t="s">
        <v>208</v>
      </c>
      <c r="D55" s="91" t="s">
        <v>209</v>
      </c>
      <c r="E55" s="53">
        <v>39970</v>
      </c>
      <c r="F55" s="55">
        <v>157</v>
      </c>
      <c r="G55" s="92" t="s">
        <v>211</v>
      </c>
      <c r="H55" s="72" t="s">
        <v>212</v>
      </c>
      <c r="I55" s="92" t="s">
        <v>214</v>
      </c>
      <c r="J55" s="72">
        <v>20</v>
      </c>
    </row>
    <row r="57" spans="1:19" ht="36" x14ac:dyDescent="0.35">
      <c r="A57" s="73" t="s">
        <v>19</v>
      </c>
      <c r="B57" s="73" t="s">
        <v>71</v>
      </c>
      <c r="C57" s="73"/>
      <c r="D57" s="71" t="s">
        <v>72</v>
      </c>
      <c r="E57" s="69" t="s">
        <v>88</v>
      </c>
      <c r="F57" s="73" t="s">
        <v>206</v>
      </c>
      <c r="G57" s="73" t="s">
        <v>73</v>
      </c>
      <c r="H57" s="73" t="s">
        <v>187</v>
      </c>
      <c r="I57" s="73" t="s">
        <v>74</v>
      </c>
      <c r="J57" s="73" t="s">
        <v>6</v>
      </c>
      <c r="K57" s="73" t="s">
        <v>75</v>
      </c>
      <c r="L57" s="73" t="s">
        <v>6</v>
      </c>
      <c r="M57" s="70" t="s">
        <v>76</v>
      </c>
      <c r="N57" s="70" t="s">
        <v>77</v>
      </c>
      <c r="O57" s="70" t="s">
        <v>152</v>
      </c>
      <c r="P57" s="70" t="s">
        <v>9</v>
      </c>
      <c r="Q57" s="70" t="s">
        <v>153</v>
      </c>
      <c r="R57" s="70" t="s">
        <v>13</v>
      </c>
    </row>
    <row r="58" spans="1:19" x14ac:dyDescent="0.35">
      <c r="A58" s="52">
        <v>1</v>
      </c>
      <c r="B58" s="52" t="s">
        <v>1</v>
      </c>
      <c r="C58" s="52" t="s">
        <v>3</v>
      </c>
      <c r="D58" s="91" t="s">
        <v>90</v>
      </c>
      <c r="E58" s="53">
        <v>40329</v>
      </c>
      <c r="F58" s="52">
        <v>151</v>
      </c>
      <c r="G58" s="92" t="s">
        <v>181</v>
      </c>
      <c r="H58" s="52" t="s">
        <v>188</v>
      </c>
      <c r="I58" s="91" t="s">
        <v>182</v>
      </c>
      <c r="J58" s="52" t="s">
        <v>264</v>
      </c>
      <c r="K58" s="91" t="s">
        <v>183</v>
      </c>
      <c r="L58" s="72" t="s">
        <v>265</v>
      </c>
      <c r="M58" s="93" t="s">
        <v>184</v>
      </c>
      <c r="N58" s="55">
        <v>6.2</v>
      </c>
      <c r="O58" s="93" t="s">
        <v>185</v>
      </c>
      <c r="P58" s="55">
        <v>80</v>
      </c>
      <c r="Q58" s="93" t="s">
        <v>186</v>
      </c>
      <c r="R58" s="55">
        <v>50</v>
      </c>
    </row>
    <row r="59" spans="1:19" x14ac:dyDescent="0.35">
      <c r="A59" s="52">
        <v>2</v>
      </c>
      <c r="B59" s="52" t="s">
        <v>1</v>
      </c>
      <c r="C59" s="52" t="s">
        <v>3</v>
      </c>
      <c r="D59" s="91" t="s">
        <v>90</v>
      </c>
      <c r="E59" s="53">
        <v>39976</v>
      </c>
      <c r="F59" s="52">
        <v>163</v>
      </c>
      <c r="G59" s="92" t="s">
        <v>181</v>
      </c>
      <c r="H59" s="52" t="s">
        <v>188</v>
      </c>
      <c r="I59" s="91" t="s">
        <v>182</v>
      </c>
      <c r="J59" s="52" t="s">
        <v>264</v>
      </c>
      <c r="K59" s="91" t="s">
        <v>183</v>
      </c>
      <c r="L59" s="72" t="s">
        <v>265</v>
      </c>
      <c r="M59" s="93" t="s">
        <v>184</v>
      </c>
      <c r="N59" s="55">
        <v>6.2</v>
      </c>
      <c r="O59" s="93" t="s">
        <v>185</v>
      </c>
      <c r="P59" s="55">
        <v>80</v>
      </c>
      <c r="Q59" s="93" t="s">
        <v>186</v>
      </c>
      <c r="R59" s="55">
        <v>50</v>
      </c>
    </row>
    <row r="61" spans="1:19" x14ac:dyDescent="0.35">
      <c r="A61" s="94"/>
      <c r="C61" s="94"/>
      <c r="E61" s="95"/>
      <c r="F61" s="95"/>
      <c r="G61" s="95"/>
      <c r="H61" s="95"/>
      <c r="I61" s="94"/>
      <c r="J61" s="67"/>
      <c r="K61" s="67"/>
      <c r="L61" s="67"/>
      <c r="M61" s="67"/>
      <c r="N61" s="67"/>
    </row>
    <row r="62" spans="1:19" ht="36" x14ac:dyDescent="0.35">
      <c r="A62" s="73" t="s">
        <v>19</v>
      </c>
      <c r="B62" s="73"/>
      <c r="C62" s="73" t="s">
        <v>71</v>
      </c>
      <c r="D62" s="71" t="s">
        <v>72</v>
      </c>
      <c r="E62" s="71" t="s">
        <v>88</v>
      </c>
      <c r="F62" s="71" t="s">
        <v>64</v>
      </c>
      <c r="G62" s="71" t="s">
        <v>65</v>
      </c>
      <c r="H62" s="71" t="s">
        <v>66</v>
      </c>
      <c r="I62" s="70" t="s">
        <v>13</v>
      </c>
      <c r="J62" s="96"/>
      <c r="K62" s="96"/>
      <c r="L62" s="96"/>
      <c r="M62" s="96"/>
      <c r="N62" s="72"/>
    </row>
    <row r="63" spans="1:19" x14ac:dyDescent="0.35">
      <c r="A63" s="67" t="s">
        <v>191</v>
      </c>
      <c r="C63" s="67"/>
      <c r="D63" s="91"/>
      <c r="E63" s="97"/>
      <c r="F63" s="98"/>
      <c r="G63" s="84"/>
      <c r="H63" s="98"/>
      <c r="I63" s="67"/>
      <c r="J63" s="67"/>
      <c r="K63" s="67"/>
      <c r="L63" s="67"/>
      <c r="M63" s="67"/>
    </row>
    <row r="64" spans="1:19" x14ac:dyDescent="0.35">
      <c r="A64" s="94"/>
      <c r="C64" s="94"/>
      <c r="E64" s="95"/>
      <c r="F64" s="95"/>
      <c r="G64" s="95"/>
      <c r="H64" s="95"/>
      <c r="I64" s="94"/>
      <c r="J64" s="94"/>
      <c r="K64" s="94"/>
      <c r="L64" s="94"/>
      <c r="M64" s="94"/>
      <c r="N64" s="67"/>
    </row>
    <row r="65" spans="1:20" x14ac:dyDescent="0.35">
      <c r="A65" s="94"/>
      <c r="C65" s="94"/>
      <c r="E65" s="95"/>
      <c r="F65" s="95"/>
      <c r="G65" s="95"/>
      <c r="H65" s="95"/>
      <c r="I65" s="94"/>
      <c r="J65" s="94"/>
      <c r="K65" s="94"/>
      <c r="L65" s="94"/>
      <c r="M65" s="94"/>
      <c r="N65" s="67"/>
    </row>
    <row r="66" spans="1:20" ht="108" x14ac:dyDescent="0.35">
      <c r="A66" s="73" t="s">
        <v>4</v>
      </c>
      <c r="B66" s="73"/>
      <c r="C66" s="73" t="s">
        <v>71</v>
      </c>
      <c r="D66" s="71" t="s">
        <v>72</v>
      </c>
      <c r="E66" s="71" t="s">
        <v>88</v>
      </c>
      <c r="F66" s="71" t="s">
        <v>207</v>
      </c>
      <c r="G66" s="71" t="s">
        <v>238</v>
      </c>
      <c r="H66" s="71" t="s">
        <v>239</v>
      </c>
      <c r="I66" s="71" t="s">
        <v>240</v>
      </c>
      <c r="J66" s="71" t="s">
        <v>250</v>
      </c>
      <c r="K66" s="71" t="s">
        <v>10</v>
      </c>
      <c r="L66" s="71" t="s">
        <v>243</v>
      </c>
      <c r="M66" s="71" t="s">
        <v>249</v>
      </c>
      <c r="N66" s="71" t="s">
        <v>248</v>
      </c>
      <c r="O66" s="71" t="s">
        <v>4</v>
      </c>
      <c r="P66" s="71" t="s">
        <v>251</v>
      </c>
      <c r="Q66" s="71" t="s">
        <v>4</v>
      </c>
      <c r="R66" s="71" t="s">
        <v>252</v>
      </c>
      <c r="S66" s="71" t="s">
        <v>4</v>
      </c>
    </row>
    <row r="67" spans="1:20" ht="36" x14ac:dyDescent="0.35">
      <c r="A67" s="67">
        <v>1</v>
      </c>
      <c r="B67" s="55" t="s">
        <v>1</v>
      </c>
      <c r="C67" s="67" t="s">
        <v>235</v>
      </c>
      <c r="D67" s="92" t="s">
        <v>236</v>
      </c>
      <c r="E67" s="53">
        <v>40313</v>
      </c>
      <c r="F67" s="55">
        <v>135</v>
      </c>
      <c r="G67" s="92" t="s">
        <v>237</v>
      </c>
      <c r="H67" s="95" t="s">
        <v>241</v>
      </c>
      <c r="I67" s="94" t="s">
        <v>242</v>
      </c>
      <c r="J67" s="92" t="s">
        <v>253</v>
      </c>
      <c r="K67" s="52">
        <v>3000</v>
      </c>
      <c r="L67" s="92" t="s">
        <v>245</v>
      </c>
      <c r="M67" s="111">
        <f>0.44*0.58</f>
        <v>0.25519999999999998</v>
      </c>
      <c r="N67" s="92" t="s">
        <v>244</v>
      </c>
      <c r="O67" s="67">
        <v>1.6</v>
      </c>
      <c r="P67" s="55" t="s">
        <v>246</v>
      </c>
      <c r="Q67" s="55">
        <v>0.35</v>
      </c>
      <c r="R67" s="92" t="s">
        <v>247</v>
      </c>
      <c r="S67" s="55">
        <v>2.1</v>
      </c>
    </row>
    <row r="68" spans="1:20" ht="36" x14ac:dyDescent="0.35">
      <c r="A68" s="67">
        <v>2</v>
      </c>
      <c r="B68" s="55" t="s">
        <v>1</v>
      </c>
      <c r="C68" s="67" t="s">
        <v>235</v>
      </c>
      <c r="D68" s="92" t="s">
        <v>236</v>
      </c>
      <c r="E68" s="53">
        <v>39970</v>
      </c>
      <c r="F68" s="55">
        <v>157</v>
      </c>
      <c r="G68" s="92" t="s">
        <v>237</v>
      </c>
      <c r="H68" s="95" t="s">
        <v>241</v>
      </c>
      <c r="I68" s="94" t="s">
        <v>242</v>
      </c>
      <c r="J68" s="92" t="s">
        <v>253</v>
      </c>
      <c r="K68" s="52">
        <v>3000</v>
      </c>
      <c r="L68" s="92" t="s">
        <v>245</v>
      </c>
      <c r="M68" s="111">
        <f>0.44*0.58</f>
        <v>0.25519999999999998</v>
      </c>
      <c r="N68" s="92" t="s">
        <v>244</v>
      </c>
      <c r="O68" s="67">
        <v>1.6</v>
      </c>
      <c r="P68" s="55" t="s">
        <v>246</v>
      </c>
      <c r="Q68" s="55">
        <v>0.35</v>
      </c>
      <c r="R68" s="92" t="s">
        <v>247</v>
      </c>
      <c r="S68" s="55">
        <v>2.1</v>
      </c>
    </row>
    <row r="69" spans="1:20" x14ac:dyDescent="0.35">
      <c r="A69" s="67"/>
      <c r="B69" s="55"/>
      <c r="C69" s="67"/>
      <c r="D69" s="55"/>
      <c r="E69" s="53"/>
      <c r="F69" s="55"/>
      <c r="G69" s="95"/>
      <c r="H69" s="95"/>
      <c r="I69" s="94"/>
      <c r="J69" s="94"/>
      <c r="K69" s="94"/>
      <c r="L69" s="94"/>
      <c r="M69" s="94"/>
      <c r="N69" s="67"/>
    </row>
    <row r="70" spans="1:20" x14ac:dyDescent="0.35">
      <c r="A70" s="67"/>
      <c r="B70" s="55"/>
      <c r="C70" s="67"/>
      <c r="D70" s="55"/>
      <c r="E70" s="99"/>
      <c r="F70" s="55"/>
      <c r="G70" s="95"/>
      <c r="H70" s="95"/>
      <c r="I70" s="94"/>
      <c r="J70" s="94"/>
      <c r="K70" s="94"/>
      <c r="L70" s="94"/>
      <c r="M70" s="94"/>
      <c r="N70" s="67"/>
    </row>
    <row r="71" spans="1:20" x14ac:dyDescent="0.35">
      <c r="A71" s="94"/>
      <c r="C71" s="94"/>
      <c r="E71" s="95"/>
      <c r="F71" s="95"/>
      <c r="G71" s="95"/>
      <c r="H71" s="95"/>
      <c r="I71" s="94"/>
      <c r="J71" s="94"/>
      <c r="K71" s="94"/>
      <c r="L71" s="94"/>
      <c r="M71" s="94"/>
      <c r="N71" s="67"/>
    </row>
    <row r="72" spans="1:20" ht="54" x14ac:dyDescent="0.35">
      <c r="A72" s="73" t="s">
        <v>4</v>
      </c>
      <c r="B72" s="73"/>
      <c r="C72" s="73" t="s">
        <v>71</v>
      </c>
      <c r="D72" s="71" t="s">
        <v>72</v>
      </c>
      <c r="E72" s="71" t="s">
        <v>88</v>
      </c>
      <c r="F72" s="71" t="s">
        <v>207</v>
      </c>
      <c r="G72" s="71" t="s">
        <v>67</v>
      </c>
      <c r="H72" s="71" t="s">
        <v>127</v>
      </c>
      <c r="I72" s="71" t="s">
        <v>204</v>
      </c>
      <c r="J72" s="71" t="s">
        <v>68</v>
      </c>
      <c r="K72" s="71" t="s">
        <v>128</v>
      </c>
      <c r="L72" s="71" t="s">
        <v>205</v>
      </c>
      <c r="M72" s="71" t="s">
        <v>69</v>
      </c>
      <c r="N72" s="73" t="s">
        <v>9</v>
      </c>
      <c r="O72" s="71" t="s">
        <v>70</v>
      </c>
      <c r="P72" s="73" t="s">
        <v>14</v>
      </c>
      <c r="Q72" s="73" t="s">
        <v>227</v>
      </c>
      <c r="R72" s="73" t="s">
        <v>223</v>
      </c>
      <c r="S72" s="73" t="s">
        <v>228</v>
      </c>
      <c r="T72" s="73" t="s">
        <v>224</v>
      </c>
    </row>
    <row r="73" spans="1:20" s="55" customFormat="1" x14ac:dyDescent="0.35">
      <c r="A73" s="67">
        <v>1</v>
      </c>
      <c r="B73" s="55" t="s">
        <v>1</v>
      </c>
      <c r="C73" s="67" t="s">
        <v>2</v>
      </c>
      <c r="D73" s="92" t="s">
        <v>114</v>
      </c>
      <c r="E73" s="53">
        <v>40329</v>
      </c>
      <c r="F73" s="55">
        <v>151</v>
      </c>
      <c r="G73" s="92" t="s">
        <v>177</v>
      </c>
      <c r="H73" s="84" t="s">
        <v>225</v>
      </c>
      <c r="I73" s="55" t="s">
        <v>226</v>
      </c>
      <c r="J73" s="92" t="s">
        <v>178</v>
      </c>
      <c r="K73" s="84" t="s">
        <v>0</v>
      </c>
      <c r="L73" s="55" t="s">
        <v>194</v>
      </c>
      <c r="M73" s="92" t="s">
        <v>179</v>
      </c>
      <c r="N73" s="67">
        <v>5</v>
      </c>
      <c r="O73" s="92" t="s">
        <v>180</v>
      </c>
      <c r="P73" s="67">
        <v>39</v>
      </c>
      <c r="Q73" s="92" t="s">
        <v>233</v>
      </c>
      <c r="R73" s="55">
        <v>26</v>
      </c>
      <c r="S73" s="92" t="s">
        <v>234</v>
      </c>
      <c r="T73" s="55">
        <v>16</v>
      </c>
    </row>
    <row r="74" spans="1:20" s="55" customFormat="1" x14ac:dyDescent="0.35">
      <c r="A74" s="67">
        <v>1</v>
      </c>
      <c r="B74" s="55" t="s">
        <v>1</v>
      </c>
      <c r="C74" s="67" t="s">
        <v>2</v>
      </c>
      <c r="D74" s="92" t="s">
        <v>114</v>
      </c>
      <c r="E74" s="99">
        <v>40369</v>
      </c>
      <c r="F74" s="55">
        <f>F73+40</f>
        <v>191</v>
      </c>
      <c r="G74" s="92" t="s">
        <v>177</v>
      </c>
      <c r="H74" s="84" t="s">
        <v>192</v>
      </c>
      <c r="I74" s="55" t="s">
        <v>193</v>
      </c>
      <c r="J74" s="92" t="s">
        <v>178</v>
      </c>
      <c r="K74" s="84" t="s">
        <v>0</v>
      </c>
      <c r="L74" s="55" t="s">
        <v>194</v>
      </c>
      <c r="M74" s="92" t="s">
        <v>179</v>
      </c>
      <c r="N74" s="67">
        <v>5</v>
      </c>
      <c r="O74" s="92" t="s">
        <v>180</v>
      </c>
      <c r="P74" s="67">
        <v>46</v>
      </c>
      <c r="Q74" s="92" t="s">
        <v>233</v>
      </c>
      <c r="R74" s="55">
        <v>0</v>
      </c>
      <c r="S74" s="92" t="s">
        <v>234</v>
      </c>
      <c r="T74" s="55">
        <v>0</v>
      </c>
    </row>
    <row r="75" spans="1:20" s="55" customFormat="1" x14ac:dyDescent="0.35">
      <c r="A75" s="67">
        <v>2</v>
      </c>
      <c r="B75" s="55" t="s">
        <v>1</v>
      </c>
      <c r="C75" s="67" t="s">
        <v>2</v>
      </c>
      <c r="D75" s="92" t="s">
        <v>114</v>
      </c>
      <c r="E75" s="53">
        <v>39976</v>
      </c>
      <c r="F75" s="55">
        <v>163</v>
      </c>
      <c r="G75" s="92" t="s">
        <v>177</v>
      </c>
      <c r="H75" s="84" t="s">
        <v>192</v>
      </c>
      <c r="I75" s="55" t="s">
        <v>226</v>
      </c>
      <c r="J75" s="92" t="s">
        <v>178</v>
      </c>
      <c r="K75" s="84" t="s">
        <v>0</v>
      </c>
      <c r="L75" s="55" t="s">
        <v>194</v>
      </c>
      <c r="M75" s="92" t="s">
        <v>179</v>
      </c>
      <c r="N75" s="67">
        <v>5</v>
      </c>
      <c r="O75" s="92" t="s">
        <v>180</v>
      </c>
      <c r="P75" s="67">
        <v>39</v>
      </c>
      <c r="Q75" s="92" t="s">
        <v>233</v>
      </c>
      <c r="R75" s="55">
        <v>26</v>
      </c>
      <c r="S75" s="92" t="s">
        <v>234</v>
      </c>
      <c r="T75" s="55">
        <v>16</v>
      </c>
    </row>
    <row r="76" spans="1:20" s="55" customFormat="1" x14ac:dyDescent="0.35">
      <c r="A76" s="67">
        <v>2</v>
      </c>
      <c r="B76" s="55" t="s">
        <v>1</v>
      </c>
      <c r="C76" s="67" t="s">
        <v>2</v>
      </c>
      <c r="D76" s="92" t="s">
        <v>114</v>
      </c>
      <c r="E76" s="99">
        <v>40016</v>
      </c>
      <c r="F76" s="55">
        <f>F75+40</f>
        <v>203</v>
      </c>
      <c r="G76" s="92" t="s">
        <v>177</v>
      </c>
      <c r="H76" s="84" t="s">
        <v>192</v>
      </c>
      <c r="I76" s="55" t="s">
        <v>193</v>
      </c>
      <c r="J76" s="92" t="s">
        <v>178</v>
      </c>
      <c r="K76" s="84" t="s">
        <v>0</v>
      </c>
      <c r="L76" s="55" t="s">
        <v>194</v>
      </c>
      <c r="M76" s="92" t="s">
        <v>179</v>
      </c>
      <c r="N76" s="67">
        <v>5</v>
      </c>
      <c r="O76" s="92" t="s">
        <v>180</v>
      </c>
      <c r="P76" s="67">
        <v>46</v>
      </c>
      <c r="Q76" s="92" t="s">
        <v>233</v>
      </c>
      <c r="R76" s="55">
        <v>0</v>
      </c>
      <c r="S76" s="92" t="s">
        <v>234</v>
      </c>
      <c r="T76" s="55">
        <v>0</v>
      </c>
    </row>
    <row r="77" spans="1:20" s="55" customFormat="1" x14ac:dyDescent="0.35">
      <c r="A77" s="67"/>
      <c r="C77" s="67"/>
      <c r="E77" s="97"/>
      <c r="F77" s="84"/>
      <c r="G77" s="84"/>
      <c r="H77" s="84"/>
      <c r="I77" s="84"/>
      <c r="J77" s="84"/>
      <c r="K77" s="67"/>
      <c r="L77" s="84"/>
      <c r="M77" s="67"/>
    </row>
    <row r="78" spans="1:20" s="55" customFormat="1" x14ac:dyDescent="0.35">
      <c r="A78" s="67"/>
      <c r="C78" s="67"/>
      <c r="E78" s="97"/>
      <c r="F78" s="84"/>
      <c r="G78" s="84"/>
      <c r="H78" s="84"/>
      <c r="I78" s="84"/>
      <c r="J78" s="84"/>
      <c r="K78" s="67"/>
      <c r="L78" s="84"/>
      <c r="M78" s="67"/>
    </row>
    <row r="79" spans="1:20" s="55" customFormat="1" x14ac:dyDescent="0.35">
      <c r="A79" s="67"/>
      <c r="C79" s="67"/>
      <c r="E79" s="97"/>
      <c r="F79" s="84"/>
      <c r="G79" s="84"/>
      <c r="H79" s="84"/>
      <c r="I79" s="84"/>
      <c r="J79" s="84"/>
      <c r="K79" s="67"/>
      <c r="L79" s="84"/>
      <c r="M79" s="67"/>
    </row>
    <row r="80" spans="1:20" s="55" customFormat="1" x14ac:dyDescent="0.35">
      <c r="A80" s="67"/>
      <c r="C80" s="67"/>
      <c r="E80" s="97"/>
      <c r="F80" s="84"/>
      <c r="G80" s="84"/>
      <c r="H80" s="84"/>
      <c r="I80" s="84"/>
      <c r="J80" s="84"/>
      <c r="K80" s="67"/>
      <c r="L80" s="84"/>
      <c r="M80" s="67"/>
    </row>
    <row r="82" spans="1:12" x14ac:dyDescent="0.35">
      <c r="A82" s="24" t="s">
        <v>87</v>
      </c>
      <c r="B82" s="51"/>
      <c r="C82" s="51"/>
    </row>
    <row r="84" spans="1:12" x14ac:dyDescent="0.35">
      <c r="A84" s="24" t="s">
        <v>79</v>
      </c>
      <c r="B84" s="51"/>
      <c r="C84" s="51"/>
      <c r="J84" s="72"/>
    </row>
    <row r="85" spans="1:12" ht="36" x14ac:dyDescent="0.35">
      <c r="A85" s="70" t="s">
        <v>19</v>
      </c>
      <c r="B85" s="70" t="s">
        <v>78</v>
      </c>
      <c r="C85" s="70" t="s">
        <v>80</v>
      </c>
      <c r="D85" s="121" t="s">
        <v>81</v>
      </c>
      <c r="E85" s="100"/>
      <c r="F85" s="100"/>
      <c r="G85" s="100"/>
      <c r="H85" s="100"/>
      <c r="I85" s="100"/>
      <c r="J85" s="100"/>
      <c r="K85" s="100"/>
      <c r="L85" s="100"/>
    </row>
    <row r="86" spans="1:12" x14ac:dyDescent="0.35">
      <c r="A86" s="70" t="s">
        <v>20</v>
      </c>
      <c r="B86" s="70" t="s">
        <v>88</v>
      </c>
      <c r="C86" s="70" t="s">
        <v>88</v>
      </c>
      <c r="D86" s="121" t="s">
        <v>88</v>
      </c>
      <c r="E86" s="100"/>
      <c r="F86" s="100"/>
      <c r="G86" s="100"/>
      <c r="H86" s="100"/>
      <c r="I86" s="100"/>
      <c r="J86" s="100"/>
      <c r="K86" s="100"/>
      <c r="L86" s="100"/>
    </row>
    <row r="87" spans="1:12" x14ac:dyDescent="0.35">
      <c r="A87" s="70" t="s">
        <v>17</v>
      </c>
      <c r="B87" s="101" t="s">
        <v>155</v>
      </c>
      <c r="C87" s="101" t="s">
        <v>156</v>
      </c>
      <c r="D87" s="122" t="s">
        <v>157</v>
      </c>
      <c r="E87" s="123"/>
      <c r="F87" s="123"/>
      <c r="G87" s="123"/>
      <c r="H87" s="123"/>
      <c r="I87" s="123"/>
      <c r="J87" s="123"/>
      <c r="K87" s="123"/>
      <c r="L87" s="100"/>
    </row>
    <row r="88" spans="1:12" s="55" customFormat="1" x14ac:dyDescent="0.35">
      <c r="A88" s="55">
        <v>1</v>
      </c>
      <c r="B88" s="53"/>
      <c r="C88" s="53">
        <v>40383</v>
      </c>
      <c r="D88" s="53">
        <v>40424</v>
      </c>
      <c r="E88" s="124"/>
      <c r="F88" s="124"/>
      <c r="G88" s="67"/>
      <c r="H88" s="67"/>
      <c r="I88" s="125"/>
      <c r="J88" s="67"/>
      <c r="K88" s="67"/>
      <c r="L88" s="79"/>
    </row>
    <row r="89" spans="1:12" s="55" customFormat="1" x14ac:dyDescent="0.35">
      <c r="A89" s="55">
        <v>2</v>
      </c>
      <c r="B89" s="53"/>
      <c r="C89" s="53">
        <v>40032</v>
      </c>
      <c r="D89" s="53">
        <v>40073</v>
      </c>
      <c r="E89" s="124"/>
      <c r="F89" s="124"/>
      <c r="G89" s="67"/>
      <c r="H89" s="67"/>
      <c r="I89" s="125"/>
      <c r="J89" s="67"/>
      <c r="K89" s="67"/>
      <c r="L89" s="79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topLeftCell="A7" zoomScale="85" zoomScaleNormal="85" workbookViewId="0">
      <selection activeCell="N13" sqref="N13"/>
    </sheetView>
  </sheetViews>
  <sheetFormatPr baseColWidth="10" defaultColWidth="8.88671875" defaultRowHeight="14.4" x14ac:dyDescent="0.3"/>
  <cols>
    <col min="1" max="1" width="14.109375" style="6" customWidth="1"/>
    <col min="2" max="2" width="18" customWidth="1"/>
    <col min="3" max="3" width="15.6640625" customWidth="1"/>
    <col min="4" max="4" width="8.6640625" customWidth="1"/>
    <col min="5" max="5" width="11.5546875" customWidth="1"/>
    <col min="6" max="6" width="13.88671875" customWidth="1"/>
    <col min="8" max="8" width="9.88671875" customWidth="1"/>
    <col min="9" max="9" width="13.5546875" customWidth="1"/>
    <col min="10" max="10" width="14.21875" customWidth="1"/>
    <col min="11" max="11" width="10.44140625" customWidth="1"/>
    <col min="12" max="12" width="11.88671875" customWidth="1"/>
    <col min="13" max="13" width="13.109375" customWidth="1"/>
    <col min="14" max="14" width="11.109375" style="45" customWidth="1"/>
    <col min="15" max="15" width="15.21875" style="45" customWidth="1"/>
    <col min="16" max="16" width="8.88671875" style="45"/>
    <col min="19" max="19" width="15.33203125" customWidth="1"/>
    <col min="20" max="20" width="12.6640625" customWidth="1"/>
    <col min="21" max="21" width="12.44140625" bestFit="1" customWidth="1"/>
  </cols>
  <sheetData>
    <row r="1" spans="1:21" s="19" customFormat="1" ht="18" x14ac:dyDescent="0.35">
      <c r="A1" s="24" t="s">
        <v>112</v>
      </c>
      <c r="B1" s="23"/>
      <c r="C1" s="23"/>
      <c r="D1" s="20"/>
      <c r="E1" s="20"/>
      <c r="F1" s="20"/>
      <c r="G1" s="20"/>
      <c r="H1" s="20"/>
      <c r="I1" s="20"/>
      <c r="N1" s="45"/>
      <c r="O1" s="45"/>
      <c r="P1" s="45"/>
    </row>
    <row r="2" spans="1:21" s="19" customFormat="1" x14ac:dyDescent="0.3">
      <c r="A2" s="25"/>
      <c r="B2" s="22"/>
      <c r="C2" s="22"/>
      <c r="D2" s="22"/>
      <c r="E2" s="22"/>
      <c r="F2" s="22"/>
      <c r="G2" s="22"/>
      <c r="H2" s="22"/>
      <c r="I2" s="20"/>
      <c r="N2" s="45"/>
      <c r="O2" s="45"/>
      <c r="P2" s="45"/>
    </row>
    <row r="3" spans="1:21" s="19" customFormat="1" x14ac:dyDescent="0.3">
      <c r="A3" s="33" t="s">
        <v>108</v>
      </c>
      <c r="B3" s="131" t="s">
        <v>92</v>
      </c>
      <c r="C3" s="131"/>
      <c r="D3" s="131"/>
      <c r="E3" s="131"/>
      <c r="F3" s="131"/>
      <c r="G3" s="131"/>
      <c r="H3" s="131"/>
      <c r="I3" s="20"/>
      <c r="N3" s="45"/>
      <c r="O3" s="45"/>
      <c r="P3" s="45"/>
    </row>
    <row r="4" spans="1:21" s="19" customFormat="1" x14ac:dyDescent="0.3">
      <c r="A4" s="20" t="s">
        <v>18</v>
      </c>
      <c r="B4" s="32" t="s">
        <v>97</v>
      </c>
      <c r="C4" s="32" t="s">
        <v>22</v>
      </c>
      <c r="D4" s="131" t="s">
        <v>101</v>
      </c>
      <c r="E4" s="131"/>
      <c r="F4" s="131"/>
      <c r="G4" s="131"/>
      <c r="H4" s="131"/>
      <c r="I4" s="20"/>
      <c r="N4" s="45"/>
      <c r="O4" s="45"/>
      <c r="P4" s="45"/>
    </row>
    <row r="5" spans="1:21" s="19" customFormat="1" x14ac:dyDescent="0.3">
      <c r="A5" s="20" t="s">
        <v>18</v>
      </c>
      <c r="B5" s="26" t="s">
        <v>18</v>
      </c>
      <c r="C5" s="27" t="s">
        <v>98</v>
      </c>
      <c r="D5" s="132" t="s">
        <v>93</v>
      </c>
      <c r="E5" s="132"/>
      <c r="F5" s="132"/>
      <c r="G5" s="132"/>
      <c r="H5" s="132"/>
      <c r="I5" s="20"/>
      <c r="N5" s="45"/>
      <c r="O5" s="45"/>
      <c r="P5" s="45"/>
    </row>
    <row r="6" spans="1:21" s="19" customFormat="1" ht="28.8" x14ac:dyDescent="0.3">
      <c r="A6" s="20" t="s">
        <v>18</v>
      </c>
      <c r="B6" s="28" t="s">
        <v>17</v>
      </c>
      <c r="C6" s="29" t="s">
        <v>100</v>
      </c>
      <c r="D6" s="133" t="s">
        <v>94</v>
      </c>
      <c r="E6" s="133"/>
      <c r="F6" s="133"/>
      <c r="G6" s="133"/>
      <c r="H6" s="133"/>
      <c r="I6" s="20"/>
      <c r="N6" s="45"/>
      <c r="O6" s="45"/>
      <c r="P6" s="45"/>
    </row>
    <row r="7" spans="1:21" s="19" customFormat="1" ht="28.8" x14ac:dyDescent="0.3">
      <c r="A7" s="20" t="s">
        <v>18</v>
      </c>
      <c r="B7" s="28" t="s">
        <v>4</v>
      </c>
      <c r="C7" s="29" t="s">
        <v>100</v>
      </c>
      <c r="D7" s="133" t="s">
        <v>95</v>
      </c>
      <c r="E7" s="133"/>
      <c r="F7" s="133"/>
      <c r="G7" s="133"/>
      <c r="H7" s="133"/>
      <c r="I7" s="20"/>
      <c r="N7" s="45"/>
      <c r="O7" s="45"/>
      <c r="P7" s="45"/>
    </row>
    <row r="8" spans="1:21" s="19" customFormat="1" ht="28.8" x14ac:dyDescent="0.3">
      <c r="A8" s="20" t="s">
        <v>18</v>
      </c>
      <c r="B8" s="30" t="s">
        <v>110</v>
      </c>
      <c r="C8" s="30" t="s">
        <v>99</v>
      </c>
      <c r="D8" s="130" t="s">
        <v>109</v>
      </c>
      <c r="E8" s="130"/>
      <c r="F8" s="130"/>
      <c r="G8" s="130"/>
      <c r="H8" s="130"/>
      <c r="I8" s="20"/>
      <c r="N8" s="45"/>
      <c r="O8" s="45"/>
      <c r="P8" s="45"/>
    </row>
    <row r="9" spans="1:21" s="19" customFormat="1" x14ac:dyDescent="0.3">
      <c r="A9" s="20" t="s">
        <v>18</v>
      </c>
      <c r="B9" s="31" t="s">
        <v>96</v>
      </c>
      <c r="C9" s="30" t="s">
        <v>99</v>
      </c>
      <c r="D9" s="130" t="s">
        <v>102</v>
      </c>
      <c r="E9" s="130"/>
      <c r="F9" s="130"/>
      <c r="G9" s="130"/>
      <c r="H9" s="130"/>
      <c r="I9" s="21" t="s">
        <v>113</v>
      </c>
      <c r="N9" s="45"/>
      <c r="O9" s="45"/>
      <c r="P9" s="45"/>
    </row>
    <row r="10" spans="1:21" s="19" customFormat="1" x14ac:dyDescent="0.3">
      <c r="N10" s="45"/>
      <c r="O10" s="45"/>
      <c r="P10" s="45"/>
    </row>
    <row r="11" spans="1:21" s="6" customFormat="1" ht="57.6" x14ac:dyDescent="0.3">
      <c r="A11" s="14" t="s">
        <v>19</v>
      </c>
      <c r="B11" s="14"/>
      <c r="C11" s="14"/>
      <c r="D11" s="14" t="s">
        <v>12</v>
      </c>
      <c r="E11" s="43" t="s">
        <v>203</v>
      </c>
      <c r="F11" s="14" t="s">
        <v>22</v>
      </c>
      <c r="G11" s="43" t="s">
        <v>215</v>
      </c>
      <c r="H11" s="43" t="s">
        <v>217</v>
      </c>
      <c r="I11" s="43" t="s">
        <v>271</v>
      </c>
      <c r="J11" s="43" t="s">
        <v>272</v>
      </c>
      <c r="N11" s="45"/>
      <c r="O11" s="45"/>
      <c r="P11" s="45"/>
    </row>
    <row r="12" spans="1:21" s="6" customFormat="1" x14ac:dyDescent="0.3">
      <c r="A12" s="14" t="s">
        <v>20</v>
      </c>
      <c r="B12" s="14"/>
      <c r="C12" s="14"/>
      <c r="D12" s="14"/>
      <c r="E12" s="43" t="s">
        <v>18</v>
      </c>
      <c r="F12" s="14"/>
      <c r="G12" s="43" t="s">
        <v>216</v>
      </c>
      <c r="H12" s="43" t="s">
        <v>218</v>
      </c>
      <c r="I12" s="43" t="s">
        <v>18</v>
      </c>
      <c r="J12" s="43" t="s">
        <v>18</v>
      </c>
      <c r="N12" s="45"/>
      <c r="O12" s="45"/>
      <c r="P12" s="45"/>
    </row>
    <row r="13" spans="1:21" x14ac:dyDescent="0.3">
      <c r="A13" s="43" t="s">
        <v>17</v>
      </c>
      <c r="B13" s="15" t="s">
        <v>33</v>
      </c>
      <c r="C13" s="15" t="s">
        <v>44</v>
      </c>
      <c r="D13" s="15" t="s">
        <v>45</v>
      </c>
      <c r="E13" s="43" t="s">
        <v>18</v>
      </c>
      <c r="F13" s="15" t="s">
        <v>115</v>
      </c>
      <c r="G13" s="43" t="s">
        <v>18</v>
      </c>
      <c r="H13" s="43" t="s">
        <v>18</v>
      </c>
      <c r="I13" s="43" t="s">
        <v>18</v>
      </c>
      <c r="J13" s="43" t="s">
        <v>18</v>
      </c>
    </row>
    <row r="14" spans="1:21" x14ac:dyDescent="0.3">
      <c r="A14" s="5" t="s">
        <v>202</v>
      </c>
      <c r="B14" s="38" t="s">
        <v>255</v>
      </c>
      <c r="C14" s="20" t="s">
        <v>199</v>
      </c>
      <c r="D14" s="22" t="s">
        <v>189</v>
      </c>
      <c r="E14" s="49" t="s">
        <v>190</v>
      </c>
      <c r="F14" s="22" t="s">
        <v>200</v>
      </c>
      <c r="G14">
        <v>0</v>
      </c>
      <c r="H14">
        <v>120</v>
      </c>
      <c r="I14">
        <v>80</v>
      </c>
      <c r="J14">
        <v>0</v>
      </c>
      <c r="K14" s="20"/>
      <c r="Q14" s="22"/>
      <c r="R14" s="22"/>
    </row>
    <row r="15" spans="1:21" s="9" customFormat="1" x14ac:dyDescent="0.3">
      <c r="A15" s="16" t="s">
        <v>18</v>
      </c>
      <c r="C15" s="2"/>
      <c r="J15" s="20"/>
      <c r="K15" s="20"/>
      <c r="N15" s="45"/>
      <c r="O15" s="45"/>
      <c r="P15" s="45"/>
      <c r="Q15" s="22"/>
      <c r="R15" s="22"/>
      <c r="S15" s="22"/>
      <c r="T15" s="22"/>
      <c r="U15" s="22"/>
    </row>
    <row r="16" spans="1:21" ht="95.25" customHeight="1" x14ac:dyDescent="0.3">
      <c r="A16" s="14" t="s">
        <v>19</v>
      </c>
      <c r="B16" s="14" t="s">
        <v>5</v>
      </c>
      <c r="C16" s="14" t="s">
        <v>82</v>
      </c>
      <c r="D16" s="14" t="s">
        <v>83</v>
      </c>
      <c r="E16" s="14" t="s">
        <v>84</v>
      </c>
      <c r="F16" s="14" t="s">
        <v>42</v>
      </c>
      <c r="G16" s="14" t="s">
        <v>40</v>
      </c>
      <c r="H16" s="44" t="s">
        <v>120</v>
      </c>
      <c r="I16" s="44" t="s">
        <v>121</v>
      </c>
      <c r="J16" s="18" t="s">
        <v>119</v>
      </c>
      <c r="K16" s="18" t="s">
        <v>122</v>
      </c>
      <c r="L16" s="44" t="s">
        <v>221</v>
      </c>
      <c r="M16" s="44" t="s">
        <v>230</v>
      </c>
      <c r="N16" s="44" t="s">
        <v>220</v>
      </c>
      <c r="O16" s="112" t="s">
        <v>258</v>
      </c>
      <c r="Q16" s="17"/>
      <c r="R16" s="17"/>
      <c r="S16" s="115"/>
      <c r="T16" s="22"/>
      <c r="U16" s="22"/>
    </row>
    <row r="17" spans="1:36" ht="28.8" x14ac:dyDescent="0.3">
      <c r="A17" s="14" t="s">
        <v>20</v>
      </c>
      <c r="B17" s="14" t="s">
        <v>9</v>
      </c>
      <c r="C17" s="14" t="s">
        <v>43</v>
      </c>
      <c r="D17" s="14" t="s">
        <v>43</v>
      </c>
      <c r="E17" s="14" t="s">
        <v>43</v>
      </c>
      <c r="F17" s="14" t="s">
        <v>15</v>
      </c>
      <c r="G17" s="14" t="s">
        <v>41</v>
      </c>
      <c r="H17" s="35" t="s">
        <v>4</v>
      </c>
      <c r="I17" s="35" t="s">
        <v>4</v>
      </c>
      <c r="J17" s="35" t="s">
        <v>4</v>
      </c>
      <c r="K17" s="35" t="s">
        <v>123</v>
      </c>
      <c r="L17" s="35" t="s">
        <v>219</v>
      </c>
      <c r="M17" s="35" t="s">
        <v>222</v>
      </c>
      <c r="N17" s="35"/>
      <c r="O17" s="113" t="s">
        <v>259</v>
      </c>
      <c r="Q17" s="17"/>
      <c r="R17" s="17"/>
      <c r="S17" s="22"/>
      <c r="T17" s="22"/>
      <c r="U17" s="22"/>
    </row>
    <row r="18" spans="1:36" s="1" customFormat="1" x14ac:dyDescent="0.3">
      <c r="A18" s="43" t="s">
        <v>4</v>
      </c>
      <c r="B18" s="46" t="s">
        <v>34</v>
      </c>
      <c r="C18" s="46" t="s">
        <v>37</v>
      </c>
      <c r="D18" s="46" t="s">
        <v>38</v>
      </c>
      <c r="E18" s="46" t="s">
        <v>39</v>
      </c>
      <c r="F18" s="46" t="s">
        <v>36</v>
      </c>
      <c r="G18" s="46" t="s">
        <v>35</v>
      </c>
      <c r="H18" s="46" t="s">
        <v>158</v>
      </c>
      <c r="I18" s="46" t="s">
        <v>159</v>
      </c>
      <c r="J18" s="47" t="s">
        <v>160</v>
      </c>
      <c r="K18" s="46" t="s">
        <v>161</v>
      </c>
      <c r="L18" s="46" t="s">
        <v>229</v>
      </c>
      <c r="M18" s="46" t="s">
        <v>231</v>
      </c>
      <c r="N18" s="46" t="s">
        <v>232</v>
      </c>
      <c r="O18" s="114" t="s">
        <v>260</v>
      </c>
      <c r="Q18" s="36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spans="1:36" x14ac:dyDescent="0.3">
      <c r="A19" s="5" t="s">
        <v>202</v>
      </c>
      <c r="B19">
        <v>10</v>
      </c>
      <c r="C19">
        <v>0.14799999999999999</v>
      </c>
      <c r="D19">
        <v>0.28299999999999997</v>
      </c>
      <c r="E19">
        <v>0.317</v>
      </c>
      <c r="F19">
        <v>1.57</v>
      </c>
      <c r="G19">
        <v>0.2</v>
      </c>
      <c r="H19" s="3">
        <v>4</v>
      </c>
      <c r="I19" s="3">
        <v>16</v>
      </c>
      <c r="J19" s="4">
        <v>0</v>
      </c>
      <c r="K19" s="22">
        <v>3</v>
      </c>
      <c r="L19" s="2">
        <v>11</v>
      </c>
      <c r="M19" s="22"/>
      <c r="N19" s="22">
        <v>6</v>
      </c>
      <c r="O19" s="117">
        <v>1.4999999999999999E-2</v>
      </c>
      <c r="Q19" s="22"/>
      <c r="R19" s="107"/>
      <c r="S19" s="107"/>
      <c r="T19" s="22"/>
      <c r="U19" s="7"/>
    </row>
    <row r="20" spans="1:36" x14ac:dyDescent="0.3">
      <c r="A20" s="5" t="s">
        <v>202</v>
      </c>
      <c r="B20">
        <v>20</v>
      </c>
      <c r="C20">
        <v>0.14000000000000001</v>
      </c>
      <c r="D20">
        <v>0.27200000000000002</v>
      </c>
      <c r="E20">
        <v>0.30499999999999999</v>
      </c>
      <c r="F20">
        <v>1.57</v>
      </c>
      <c r="G20">
        <v>0.2</v>
      </c>
      <c r="H20">
        <v>4</v>
      </c>
      <c r="I20">
        <v>16</v>
      </c>
      <c r="J20">
        <v>0</v>
      </c>
      <c r="K20" s="22">
        <v>3</v>
      </c>
      <c r="L20" s="2">
        <v>11</v>
      </c>
      <c r="M20" s="22"/>
      <c r="N20" s="22">
        <v>6</v>
      </c>
      <c r="O20" s="117">
        <v>1.4999999999999999E-2</v>
      </c>
      <c r="Q20" s="22"/>
      <c r="R20" s="107"/>
      <c r="S20" s="107"/>
      <c r="T20" s="108"/>
      <c r="U20" s="107"/>
    </row>
    <row r="21" spans="1:36" x14ac:dyDescent="0.3">
      <c r="A21" s="5" t="s">
        <v>202</v>
      </c>
      <c r="B21">
        <v>30</v>
      </c>
      <c r="C21">
        <v>0.17100000000000001</v>
      </c>
      <c r="D21">
        <v>0.30399999999999999</v>
      </c>
      <c r="E21">
        <v>0.33700000000000002</v>
      </c>
      <c r="F21">
        <v>1.72</v>
      </c>
      <c r="G21">
        <v>0.2</v>
      </c>
      <c r="H21">
        <v>4</v>
      </c>
      <c r="I21">
        <v>16</v>
      </c>
      <c r="J21">
        <v>0</v>
      </c>
      <c r="K21" s="22">
        <v>3</v>
      </c>
      <c r="L21" s="2">
        <v>11</v>
      </c>
      <c r="M21" s="22"/>
      <c r="N21" s="22">
        <v>6</v>
      </c>
      <c r="O21" s="117">
        <v>1.4999999999999999E-2</v>
      </c>
      <c r="Q21" s="22"/>
      <c r="R21" s="107"/>
      <c r="S21" s="107"/>
      <c r="T21" s="22"/>
      <c r="U21" s="7"/>
    </row>
    <row r="22" spans="1:36" x14ac:dyDescent="0.3">
      <c r="A22" s="5" t="s">
        <v>202</v>
      </c>
      <c r="B22">
        <v>40</v>
      </c>
      <c r="C22">
        <v>0.114</v>
      </c>
      <c r="D22">
        <v>0.28299999999999997</v>
      </c>
      <c r="E22">
        <v>0.33100000000000002</v>
      </c>
      <c r="F22">
        <v>1.67</v>
      </c>
      <c r="G22">
        <v>0.2</v>
      </c>
      <c r="H22">
        <v>4</v>
      </c>
      <c r="I22">
        <v>16</v>
      </c>
      <c r="J22">
        <v>0</v>
      </c>
      <c r="K22" s="22">
        <v>3</v>
      </c>
      <c r="L22" s="2">
        <v>11</v>
      </c>
      <c r="M22" s="22"/>
      <c r="N22" s="22">
        <v>6</v>
      </c>
      <c r="O22" s="117">
        <v>1.4999999999999999E-2</v>
      </c>
      <c r="Q22" s="22"/>
      <c r="R22" s="107"/>
      <c r="S22" s="107"/>
      <c r="T22" s="22"/>
      <c r="U22" s="7"/>
    </row>
    <row r="23" spans="1:36" x14ac:dyDescent="0.3">
      <c r="A23" s="5" t="s">
        <v>202</v>
      </c>
      <c r="B23">
        <v>60</v>
      </c>
      <c r="C23">
        <v>8.5999999999999993E-2</v>
      </c>
      <c r="D23">
        <v>0.20599999999999999</v>
      </c>
      <c r="E23">
        <v>0.22600000000000001</v>
      </c>
      <c r="F23">
        <v>1.74</v>
      </c>
      <c r="K23" s="22"/>
      <c r="L23" s="22"/>
      <c r="M23" s="22"/>
      <c r="N23" s="2"/>
      <c r="O23" s="117">
        <f>F23/12</f>
        <v>0.14499999999999999</v>
      </c>
      <c r="Q23" s="22"/>
      <c r="R23" s="107"/>
      <c r="S23" s="107"/>
      <c r="T23" s="22"/>
      <c r="U23" s="7"/>
    </row>
    <row r="24" spans="1:36" x14ac:dyDescent="0.3">
      <c r="A24" s="5" t="s">
        <v>202</v>
      </c>
      <c r="B24">
        <v>80</v>
      </c>
      <c r="C24">
        <v>0.107</v>
      </c>
      <c r="D24">
        <v>0.25</v>
      </c>
      <c r="E24">
        <v>0.27300000000000002</v>
      </c>
      <c r="F24">
        <v>1.65</v>
      </c>
      <c r="K24" s="22"/>
      <c r="L24" s="22"/>
      <c r="M24" s="22"/>
      <c r="N24" s="2"/>
      <c r="O24" s="117">
        <f t="shared" ref="O24:O25" si="0">F24/12</f>
        <v>0.13749999999999998</v>
      </c>
      <c r="Q24" s="22"/>
      <c r="R24" s="107"/>
      <c r="S24" s="107"/>
      <c r="T24" s="22"/>
      <c r="U24" s="7"/>
    </row>
    <row r="25" spans="1:36" x14ac:dyDescent="0.3">
      <c r="A25" s="5" t="s">
        <v>202</v>
      </c>
      <c r="B25" s="45">
        <v>120</v>
      </c>
      <c r="C25" s="45">
        <v>0.107</v>
      </c>
      <c r="D25" s="45">
        <v>0.25</v>
      </c>
      <c r="E25" s="45">
        <v>0.27300000000000002</v>
      </c>
      <c r="F25" s="45">
        <v>1.65</v>
      </c>
      <c r="G25" s="45"/>
      <c r="H25" s="45"/>
      <c r="I25" s="45"/>
      <c r="J25" s="45"/>
      <c r="K25" s="22"/>
      <c r="L25" s="22"/>
      <c r="M25" s="22"/>
      <c r="N25" s="2"/>
      <c r="O25" s="117">
        <f t="shared" si="0"/>
        <v>0.13749999999999998</v>
      </c>
      <c r="Q25" s="22"/>
      <c r="R25" s="107"/>
      <c r="S25" s="107"/>
      <c r="T25" s="22"/>
      <c r="U25" s="7"/>
    </row>
    <row r="26" spans="1:36" x14ac:dyDescent="0.3">
      <c r="A26" s="5"/>
      <c r="B26" s="45"/>
      <c r="R26" s="22"/>
      <c r="S26" s="50"/>
      <c r="T26" s="22"/>
      <c r="U26" s="22"/>
    </row>
    <row r="27" spans="1:36" x14ac:dyDescent="0.3">
      <c r="A27" s="5"/>
      <c r="B27" s="45"/>
      <c r="R27" s="22"/>
      <c r="S27" s="22"/>
      <c r="T27" s="22"/>
      <c r="U27" s="22"/>
    </row>
    <row r="28" spans="1:36" x14ac:dyDescent="0.3">
      <c r="A28" s="5"/>
      <c r="B28" s="45"/>
      <c r="R28" s="22"/>
      <c r="S28" s="22"/>
      <c r="T28" s="22"/>
      <c r="U28" s="22"/>
    </row>
    <row r="29" spans="1:36" x14ac:dyDescent="0.3">
      <c r="A29" s="5"/>
      <c r="B29" s="45"/>
    </row>
    <row r="30" spans="1:36" x14ac:dyDescent="0.3">
      <c r="A30" s="5"/>
      <c r="B30" s="45"/>
    </row>
    <row r="31" spans="1:36" x14ac:dyDescent="0.3">
      <c r="A31" s="5"/>
      <c r="B31" s="45"/>
    </row>
    <row r="32" spans="1:36" x14ac:dyDescent="0.3">
      <c r="A32" s="5"/>
      <c r="B32" s="45"/>
    </row>
    <row r="33" spans="1:2" x14ac:dyDescent="0.3">
      <c r="A33" s="5"/>
      <c r="B33" s="45"/>
    </row>
    <row r="34" spans="1:2" x14ac:dyDescent="0.3">
      <c r="A34" s="5"/>
      <c r="B34" s="45"/>
    </row>
    <row r="35" spans="1:2" x14ac:dyDescent="0.3">
      <c r="A35" s="5"/>
      <c r="B35" s="45"/>
    </row>
    <row r="36" spans="1:2" x14ac:dyDescent="0.3">
      <c r="A36" s="5"/>
      <c r="B36" s="45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40"/>
  <sheetViews>
    <sheetView topLeftCell="A25" zoomScale="70" zoomScaleNormal="70" workbookViewId="0">
      <selection activeCell="R16" sqref="R16"/>
    </sheetView>
  </sheetViews>
  <sheetFormatPr baseColWidth="10" defaultColWidth="9.109375" defaultRowHeight="14.4" x14ac:dyDescent="0.3"/>
  <cols>
    <col min="1" max="1" width="10.5546875" style="20" customWidth="1"/>
    <col min="2" max="2" width="13.109375" style="20" customWidth="1"/>
    <col min="3" max="3" width="12.44140625" style="20" customWidth="1"/>
    <col min="4" max="4" width="10.88671875" style="20" customWidth="1"/>
    <col min="5" max="5" width="14.33203125" style="20" customWidth="1"/>
    <col min="6" max="6" width="14" style="20" customWidth="1"/>
    <col min="7" max="7" width="12.5546875" style="103" customWidth="1"/>
    <col min="8" max="8" width="12.44140625" style="20" customWidth="1"/>
    <col min="9" max="9" width="11" style="45" customWidth="1"/>
    <col min="12" max="16384" width="9.109375" style="20"/>
  </cols>
  <sheetData>
    <row r="1" spans="1:35" ht="18" x14ac:dyDescent="0.35">
      <c r="A1" s="24" t="s">
        <v>151</v>
      </c>
      <c r="B1" s="23"/>
      <c r="C1" s="23"/>
    </row>
    <row r="2" spans="1:35" ht="57.6" x14ac:dyDescent="0.3">
      <c r="A2" s="12" t="s">
        <v>132</v>
      </c>
      <c r="B2" s="12" t="s">
        <v>143</v>
      </c>
      <c r="C2" s="13" t="s">
        <v>24</v>
      </c>
      <c r="D2" s="13" t="s">
        <v>26</v>
      </c>
      <c r="E2" s="13" t="s">
        <v>144</v>
      </c>
      <c r="F2" s="13" t="s">
        <v>147</v>
      </c>
      <c r="G2" s="104" t="s">
        <v>148</v>
      </c>
      <c r="H2" s="8"/>
      <c r="I2" s="8"/>
    </row>
    <row r="3" spans="1:35" ht="28.8" x14ac:dyDescent="0.3">
      <c r="A3" s="12" t="s">
        <v>20</v>
      </c>
      <c r="B3" s="12"/>
      <c r="C3" s="13" t="s">
        <v>145</v>
      </c>
      <c r="D3" s="13" t="s">
        <v>145</v>
      </c>
      <c r="E3" s="13" t="s">
        <v>146</v>
      </c>
      <c r="F3" s="13" t="s">
        <v>140</v>
      </c>
      <c r="G3" s="104" t="s">
        <v>140</v>
      </c>
    </row>
    <row r="4" spans="1:35" x14ac:dyDescent="0.3">
      <c r="A4" s="10" t="s">
        <v>17</v>
      </c>
      <c r="B4" s="10" t="s">
        <v>111</v>
      </c>
      <c r="C4" s="39" t="s">
        <v>162</v>
      </c>
      <c r="D4" s="39" t="s">
        <v>163</v>
      </c>
      <c r="E4" s="39" t="s">
        <v>164</v>
      </c>
      <c r="F4" s="39" t="s">
        <v>165</v>
      </c>
      <c r="G4" s="105" t="s">
        <v>166</v>
      </c>
      <c r="L4" s="45"/>
      <c r="M4" s="45"/>
    </row>
    <row r="5" spans="1:35" x14ac:dyDescent="0.3">
      <c r="B5" s="37" t="s">
        <v>254</v>
      </c>
      <c r="C5" s="48">
        <v>12.58</v>
      </c>
      <c r="D5" s="48">
        <v>-5.7</v>
      </c>
      <c r="E5" s="5">
        <v>302</v>
      </c>
      <c r="F5" s="20">
        <v>27.52</v>
      </c>
      <c r="G5" s="103">
        <v>9.74</v>
      </c>
    </row>
    <row r="7" spans="1:35" x14ac:dyDescent="0.3">
      <c r="L7" s="2"/>
      <c r="M7" s="2"/>
      <c r="N7" s="2"/>
    </row>
    <row r="8" spans="1:35" ht="57.6" x14ac:dyDescent="0.3">
      <c r="A8" s="41" t="s">
        <v>132</v>
      </c>
      <c r="B8" s="13" t="s">
        <v>133</v>
      </c>
      <c r="C8" s="13" t="s">
        <v>175</v>
      </c>
      <c r="D8" s="13" t="s">
        <v>134</v>
      </c>
      <c r="E8" s="13" t="s">
        <v>135</v>
      </c>
      <c r="F8" s="13" t="s">
        <v>136</v>
      </c>
      <c r="G8" s="104" t="s">
        <v>137</v>
      </c>
      <c r="H8" s="13" t="s">
        <v>138</v>
      </c>
      <c r="I8" s="13" t="s">
        <v>195</v>
      </c>
      <c r="L8" s="134" t="s">
        <v>142</v>
      </c>
      <c r="M8" s="135"/>
      <c r="N8" s="40"/>
    </row>
    <row r="9" spans="1:35" x14ac:dyDescent="0.3">
      <c r="A9" s="41" t="s">
        <v>20</v>
      </c>
      <c r="B9" s="13" t="s">
        <v>88</v>
      </c>
      <c r="C9" s="13" t="s">
        <v>174</v>
      </c>
      <c r="D9" s="13" t="s">
        <v>139</v>
      </c>
      <c r="E9" s="13" t="s">
        <v>140</v>
      </c>
      <c r="F9" s="13" t="s">
        <v>140</v>
      </c>
      <c r="G9" s="104" t="s">
        <v>13</v>
      </c>
      <c r="H9" s="13" t="s">
        <v>141</v>
      </c>
      <c r="I9" s="13" t="s">
        <v>4</v>
      </c>
      <c r="L9" s="136"/>
      <c r="M9" s="137"/>
      <c r="N9" s="40"/>
    </row>
    <row r="10" spans="1:35" x14ac:dyDescent="0.3">
      <c r="A10" s="15" t="s">
        <v>4</v>
      </c>
      <c r="B10" s="11" t="s">
        <v>167</v>
      </c>
      <c r="C10" s="39" t="s">
        <v>168</v>
      </c>
      <c r="D10" s="11" t="s">
        <v>169</v>
      </c>
      <c r="E10" s="11" t="s">
        <v>170</v>
      </c>
      <c r="F10" s="11" t="s">
        <v>171</v>
      </c>
      <c r="G10" s="105" t="s">
        <v>172</v>
      </c>
      <c r="H10" s="11" t="s">
        <v>173</v>
      </c>
      <c r="I10" s="39" t="s">
        <v>196</v>
      </c>
      <c r="L10" s="39" t="s">
        <v>130</v>
      </c>
      <c r="M10" s="39" t="s">
        <v>131</v>
      </c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</row>
    <row r="11" spans="1:35" s="22" customFormat="1" x14ac:dyDescent="0.3">
      <c r="B11" s="42">
        <f t="shared" ref="B11:B42" si="0">DATE(L11-1,12,31)+M11</f>
        <v>39814</v>
      </c>
      <c r="D11" s="103">
        <v>20.502800000000001</v>
      </c>
      <c r="E11" s="103">
        <v>35.25</v>
      </c>
      <c r="F11" s="103">
        <v>10</v>
      </c>
      <c r="G11" s="103">
        <v>0</v>
      </c>
      <c r="H11" s="119">
        <v>319.68</v>
      </c>
      <c r="I11" s="119">
        <v>10</v>
      </c>
      <c r="L11" s="45">
        <v>2009</v>
      </c>
      <c r="M11" s="45">
        <v>1</v>
      </c>
    </row>
    <row r="12" spans="1:35" s="22" customFormat="1" x14ac:dyDescent="0.3">
      <c r="B12" s="42">
        <f t="shared" si="0"/>
        <v>39815</v>
      </c>
      <c r="D12" s="103">
        <v>21.302099999999999</v>
      </c>
      <c r="E12" s="103">
        <v>34.5</v>
      </c>
      <c r="F12" s="103">
        <v>10</v>
      </c>
      <c r="G12" s="103">
        <v>0</v>
      </c>
      <c r="H12" s="119">
        <v>311.04000000000002</v>
      </c>
      <c r="I12" s="119">
        <v>10</v>
      </c>
      <c r="L12" s="45">
        <v>2009</v>
      </c>
      <c r="M12" s="45">
        <v>2</v>
      </c>
    </row>
    <row r="13" spans="1:35" s="22" customFormat="1" x14ac:dyDescent="0.3">
      <c r="B13" s="42">
        <f t="shared" si="0"/>
        <v>39816</v>
      </c>
      <c r="D13" s="103">
        <v>17.0853</v>
      </c>
      <c r="E13" s="103">
        <v>34.25</v>
      </c>
      <c r="F13" s="103">
        <v>10</v>
      </c>
      <c r="G13" s="103">
        <v>0</v>
      </c>
      <c r="H13" s="119">
        <v>293.76</v>
      </c>
      <c r="I13" s="119">
        <v>9</v>
      </c>
      <c r="L13" s="45">
        <v>2009</v>
      </c>
      <c r="M13" s="45">
        <v>3</v>
      </c>
    </row>
    <row r="14" spans="1:35" s="22" customFormat="1" x14ac:dyDescent="0.3">
      <c r="B14" s="42">
        <f t="shared" si="0"/>
        <v>39817</v>
      </c>
      <c r="D14" s="103">
        <v>18.943999999999999</v>
      </c>
      <c r="E14" s="103">
        <v>33.75</v>
      </c>
      <c r="F14" s="103">
        <v>10</v>
      </c>
      <c r="G14" s="103">
        <v>0</v>
      </c>
      <c r="H14" s="119">
        <v>216</v>
      </c>
      <c r="I14" s="119">
        <v>9</v>
      </c>
      <c r="L14" s="45">
        <v>2009</v>
      </c>
      <c r="M14" s="45">
        <v>4</v>
      </c>
    </row>
    <row r="15" spans="1:35" s="22" customFormat="1" x14ac:dyDescent="0.3">
      <c r="B15" s="42">
        <f t="shared" si="0"/>
        <v>39818</v>
      </c>
      <c r="D15" s="103">
        <v>16.840299999999999</v>
      </c>
      <c r="E15" s="103">
        <v>33</v>
      </c>
      <c r="F15" s="103">
        <v>10</v>
      </c>
      <c r="G15" s="103">
        <v>0</v>
      </c>
      <c r="H15" s="119">
        <v>181.44</v>
      </c>
      <c r="I15" s="119">
        <v>10</v>
      </c>
      <c r="L15" s="45">
        <v>2009</v>
      </c>
      <c r="M15" s="45">
        <v>5</v>
      </c>
    </row>
    <row r="16" spans="1:35" s="22" customFormat="1" x14ac:dyDescent="0.3">
      <c r="B16" s="42">
        <f t="shared" si="0"/>
        <v>39819</v>
      </c>
      <c r="D16" s="103">
        <v>15.926</v>
      </c>
      <c r="E16" s="103">
        <v>33.450000000000003</v>
      </c>
      <c r="F16" s="103">
        <v>12.9</v>
      </c>
      <c r="G16" s="103">
        <v>0</v>
      </c>
      <c r="H16" s="119">
        <v>181.44</v>
      </c>
      <c r="I16" s="119">
        <v>10</v>
      </c>
      <c r="L16" s="45">
        <v>2009</v>
      </c>
      <c r="M16" s="45">
        <v>6</v>
      </c>
    </row>
    <row r="17" spans="2:13" s="22" customFormat="1" x14ac:dyDescent="0.3">
      <c r="B17" s="42">
        <f t="shared" si="0"/>
        <v>39820</v>
      </c>
      <c r="D17" s="103">
        <v>16.3355</v>
      </c>
      <c r="E17" s="103">
        <v>31.7</v>
      </c>
      <c r="F17" s="103">
        <v>11</v>
      </c>
      <c r="G17" s="103">
        <v>0</v>
      </c>
      <c r="H17" s="119">
        <v>276.48</v>
      </c>
      <c r="I17" s="119">
        <v>13</v>
      </c>
      <c r="L17" s="45">
        <v>2009</v>
      </c>
      <c r="M17" s="45">
        <v>7</v>
      </c>
    </row>
    <row r="18" spans="2:13" s="22" customFormat="1" x14ac:dyDescent="0.3">
      <c r="B18" s="42">
        <f t="shared" si="0"/>
        <v>39821</v>
      </c>
      <c r="D18" s="103">
        <v>18.866700000000002</v>
      </c>
      <c r="E18" s="103">
        <v>30</v>
      </c>
      <c r="F18" s="103">
        <v>10.4</v>
      </c>
      <c r="G18" s="103">
        <v>0</v>
      </c>
      <c r="H18" s="119">
        <v>241.92</v>
      </c>
      <c r="I18" s="119">
        <v>14</v>
      </c>
      <c r="L18" s="45">
        <v>2009</v>
      </c>
      <c r="M18" s="45">
        <v>8</v>
      </c>
    </row>
    <row r="19" spans="2:13" s="22" customFormat="1" x14ac:dyDescent="0.3">
      <c r="B19" s="42">
        <f t="shared" si="0"/>
        <v>39822</v>
      </c>
      <c r="D19" s="103">
        <v>19.944900000000001</v>
      </c>
      <c r="E19" s="103">
        <v>29.5</v>
      </c>
      <c r="F19" s="103">
        <v>10</v>
      </c>
      <c r="G19" s="103">
        <v>0</v>
      </c>
      <c r="H19" s="119">
        <v>302.39999999999998</v>
      </c>
      <c r="I19" s="119">
        <v>13</v>
      </c>
      <c r="L19" s="45">
        <v>2009</v>
      </c>
      <c r="M19" s="45">
        <v>9</v>
      </c>
    </row>
    <row r="20" spans="2:13" s="22" customFormat="1" x14ac:dyDescent="0.3">
      <c r="B20" s="42">
        <f t="shared" si="0"/>
        <v>39823</v>
      </c>
      <c r="D20" s="103">
        <v>18.9192</v>
      </c>
      <c r="E20" s="103">
        <v>30.4</v>
      </c>
      <c r="F20" s="103">
        <v>9</v>
      </c>
      <c r="G20" s="103">
        <v>0</v>
      </c>
      <c r="H20" s="119">
        <v>224.64</v>
      </c>
      <c r="I20" s="119">
        <v>11</v>
      </c>
      <c r="L20" s="45">
        <v>2009</v>
      </c>
      <c r="M20" s="45">
        <v>10</v>
      </c>
    </row>
    <row r="21" spans="2:13" s="22" customFormat="1" x14ac:dyDescent="0.3">
      <c r="B21" s="42">
        <f t="shared" si="0"/>
        <v>39824</v>
      </c>
      <c r="D21" s="103">
        <v>18.925899999999999</v>
      </c>
      <c r="E21" s="103">
        <v>31.05</v>
      </c>
      <c r="F21" s="103">
        <v>10.75</v>
      </c>
      <c r="G21" s="103">
        <v>0</v>
      </c>
      <c r="H21" s="119">
        <v>250.56</v>
      </c>
      <c r="I21" s="119">
        <v>11</v>
      </c>
      <c r="L21" s="45">
        <v>2009</v>
      </c>
      <c r="M21" s="45">
        <v>11</v>
      </c>
    </row>
    <row r="22" spans="2:13" s="22" customFormat="1" x14ac:dyDescent="0.3">
      <c r="B22" s="42">
        <f t="shared" si="0"/>
        <v>39825</v>
      </c>
      <c r="D22" s="103">
        <v>18.802099999999999</v>
      </c>
      <c r="E22" s="103">
        <v>30.25</v>
      </c>
      <c r="F22" s="103">
        <v>10.5</v>
      </c>
      <c r="G22" s="103">
        <v>0</v>
      </c>
      <c r="H22" s="119">
        <v>276.48</v>
      </c>
      <c r="I22" s="119">
        <v>18</v>
      </c>
      <c r="L22" s="45">
        <v>2009</v>
      </c>
      <c r="M22" s="45">
        <v>12</v>
      </c>
    </row>
    <row r="23" spans="2:13" s="22" customFormat="1" x14ac:dyDescent="0.3">
      <c r="B23" s="42">
        <f t="shared" si="0"/>
        <v>39826</v>
      </c>
      <c r="D23" s="103">
        <v>20.001000000000001</v>
      </c>
      <c r="E23" s="103">
        <v>27.75</v>
      </c>
      <c r="F23" s="103">
        <v>11.5</v>
      </c>
      <c r="G23" s="103">
        <v>0</v>
      </c>
      <c r="H23" s="119">
        <v>293.76</v>
      </c>
      <c r="I23" s="119">
        <v>12</v>
      </c>
      <c r="L23" s="45">
        <v>2009</v>
      </c>
      <c r="M23" s="45">
        <v>13</v>
      </c>
    </row>
    <row r="24" spans="2:13" s="22" customFormat="1" x14ac:dyDescent="0.3">
      <c r="B24" s="42">
        <f t="shared" si="0"/>
        <v>39827</v>
      </c>
      <c r="D24" s="103">
        <v>19.087700000000002</v>
      </c>
      <c r="E24" s="103">
        <v>28.4</v>
      </c>
      <c r="F24" s="103">
        <v>9.5</v>
      </c>
      <c r="G24" s="103">
        <v>0</v>
      </c>
      <c r="H24" s="119">
        <v>302.39999999999998</v>
      </c>
      <c r="I24" s="119">
        <v>13</v>
      </c>
      <c r="L24" s="45">
        <v>2009</v>
      </c>
      <c r="M24" s="45">
        <v>14</v>
      </c>
    </row>
    <row r="25" spans="2:13" s="22" customFormat="1" x14ac:dyDescent="0.3">
      <c r="B25" s="42">
        <f t="shared" si="0"/>
        <v>39828</v>
      </c>
      <c r="D25" s="103">
        <v>19.1008</v>
      </c>
      <c r="E25" s="103">
        <v>30</v>
      </c>
      <c r="F25" s="103">
        <v>10.5</v>
      </c>
      <c r="G25" s="103">
        <v>0</v>
      </c>
      <c r="H25" s="119">
        <v>250.56</v>
      </c>
      <c r="I25" s="119">
        <v>12</v>
      </c>
      <c r="L25" s="45">
        <v>2009</v>
      </c>
      <c r="M25" s="45">
        <v>15</v>
      </c>
    </row>
    <row r="26" spans="2:13" s="22" customFormat="1" x14ac:dyDescent="0.3">
      <c r="B26" s="42">
        <f t="shared" si="0"/>
        <v>39829</v>
      </c>
      <c r="D26" s="103">
        <v>19.380199999999999</v>
      </c>
      <c r="E26" s="103">
        <v>30.75</v>
      </c>
      <c r="F26" s="103">
        <v>11</v>
      </c>
      <c r="G26" s="103">
        <v>0</v>
      </c>
      <c r="H26" s="119">
        <v>276.48</v>
      </c>
      <c r="I26" s="119">
        <v>10</v>
      </c>
      <c r="L26" s="45">
        <v>2009</v>
      </c>
      <c r="M26" s="45">
        <v>16</v>
      </c>
    </row>
    <row r="27" spans="2:13" s="22" customFormat="1" x14ac:dyDescent="0.3">
      <c r="B27" s="42">
        <f t="shared" si="0"/>
        <v>39830</v>
      </c>
      <c r="D27" s="103">
        <v>11.9778</v>
      </c>
      <c r="E27" s="103">
        <v>29.25</v>
      </c>
      <c r="F27" s="103">
        <v>10</v>
      </c>
      <c r="G27" s="103">
        <v>0</v>
      </c>
      <c r="H27" s="119">
        <v>336.96</v>
      </c>
      <c r="I27" s="119">
        <v>9</v>
      </c>
      <c r="L27" s="45">
        <v>2009</v>
      </c>
      <c r="M27" s="45">
        <v>17</v>
      </c>
    </row>
    <row r="28" spans="2:13" s="22" customFormat="1" x14ac:dyDescent="0.3">
      <c r="B28" s="42">
        <f t="shared" si="0"/>
        <v>39831</v>
      </c>
      <c r="D28" s="103">
        <v>8.8073999999999995</v>
      </c>
      <c r="E28" s="103">
        <v>25.45</v>
      </c>
      <c r="F28" s="103">
        <v>11</v>
      </c>
      <c r="G28" s="103">
        <v>0</v>
      </c>
      <c r="H28" s="119">
        <v>328.32</v>
      </c>
      <c r="I28" s="119">
        <v>15</v>
      </c>
      <c r="L28" s="45">
        <v>2009</v>
      </c>
      <c r="M28" s="45">
        <v>18</v>
      </c>
    </row>
    <row r="29" spans="2:13" s="22" customFormat="1" x14ac:dyDescent="0.3">
      <c r="B29" s="42">
        <f t="shared" si="0"/>
        <v>39832</v>
      </c>
      <c r="D29" s="103">
        <v>18.787299999999998</v>
      </c>
      <c r="E29" s="103">
        <v>24.75</v>
      </c>
      <c r="F29" s="103">
        <v>9.25</v>
      </c>
      <c r="G29" s="103">
        <v>0</v>
      </c>
      <c r="H29" s="119">
        <v>336.96</v>
      </c>
      <c r="I29" s="119">
        <v>12</v>
      </c>
      <c r="L29" s="45">
        <v>2009</v>
      </c>
      <c r="M29" s="45">
        <v>19</v>
      </c>
    </row>
    <row r="30" spans="2:13" s="22" customFormat="1" x14ac:dyDescent="0.3">
      <c r="B30" s="42">
        <f t="shared" si="0"/>
        <v>39833</v>
      </c>
      <c r="D30" s="103">
        <v>15.6256</v>
      </c>
      <c r="E30" s="103">
        <v>25.3</v>
      </c>
      <c r="F30" s="103">
        <v>8</v>
      </c>
      <c r="G30" s="103">
        <v>0</v>
      </c>
      <c r="H30" s="119">
        <v>259.2</v>
      </c>
      <c r="I30" s="119">
        <v>11</v>
      </c>
      <c r="L30" s="45">
        <v>2009</v>
      </c>
      <c r="M30" s="45">
        <v>20</v>
      </c>
    </row>
    <row r="31" spans="2:13" s="22" customFormat="1" x14ac:dyDescent="0.3">
      <c r="B31" s="42">
        <f t="shared" si="0"/>
        <v>39834</v>
      </c>
      <c r="D31" s="103">
        <v>12.7272</v>
      </c>
      <c r="E31" s="103">
        <v>25.5</v>
      </c>
      <c r="F31" s="103">
        <v>6</v>
      </c>
      <c r="G31" s="103">
        <v>0</v>
      </c>
      <c r="H31" s="119">
        <v>250.56</v>
      </c>
      <c r="I31" s="119">
        <v>10</v>
      </c>
      <c r="L31" s="45">
        <v>2009</v>
      </c>
      <c r="M31" s="45">
        <v>21</v>
      </c>
    </row>
    <row r="32" spans="2:13" s="22" customFormat="1" x14ac:dyDescent="0.3">
      <c r="B32" s="42">
        <f t="shared" si="0"/>
        <v>39835</v>
      </c>
      <c r="D32" s="103">
        <v>11.1486</v>
      </c>
      <c r="E32" s="103">
        <v>26.5</v>
      </c>
      <c r="F32" s="103">
        <v>11.5</v>
      </c>
      <c r="G32" s="103">
        <v>0</v>
      </c>
      <c r="H32" s="119">
        <v>414.72</v>
      </c>
      <c r="I32" s="119">
        <v>11</v>
      </c>
      <c r="L32" s="45">
        <v>2009</v>
      </c>
      <c r="M32" s="45">
        <v>22</v>
      </c>
    </row>
    <row r="33" spans="2:13" s="22" customFormat="1" x14ac:dyDescent="0.3">
      <c r="B33" s="42">
        <f t="shared" si="0"/>
        <v>39836</v>
      </c>
      <c r="D33" s="103">
        <v>7.4540800000000003</v>
      </c>
      <c r="E33" s="103">
        <v>26</v>
      </c>
      <c r="F33" s="103">
        <v>10.5</v>
      </c>
      <c r="G33" s="103">
        <v>0</v>
      </c>
      <c r="H33" s="119">
        <v>354.24</v>
      </c>
      <c r="I33" s="119">
        <v>6</v>
      </c>
      <c r="L33" s="45">
        <v>2009</v>
      </c>
      <c r="M33" s="45">
        <v>23</v>
      </c>
    </row>
    <row r="34" spans="2:13" s="22" customFormat="1" x14ac:dyDescent="0.3">
      <c r="B34" s="42">
        <f t="shared" si="0"/>
        <v>39837</v>
      </c>
      <c r="D34" s="103">
        <v>20.820399999999999</v>
      </c>
      <c r="E34" s="103">
        <v>27.75</v>
      </c>
      <c r="F34" s="103">
        <v>11</v>
      </c>
      <c r="G34" s="103">
        <v>0</v>
      </c>
      <c r="H34" s="119">
        <v>259.2</v>
      </c>
      <c r="I34" s="119">
        <v>7</v>
      </c>
      <c r="L34" s="45">
        <v>2009</v>
      </c>
      <c r="M34" s="45">
        <v>24</v>
      </c>
    </row>
    <row r="35" spans="2:13" s="22" customFormat="1" x14ac:dyDescent="0.3">
      <c r="B35" s="42">
        <f t="shared" si="0"/>
        <v>39838</v>
      </c>
      <c r="D35" s="103">
        <v>20.174399999999999</v>
      </c>
      <c r="E35" s="103">
        <v>30.25</v>
      </c>
      <c r="F35" s="103">
        <v>7.5</v>
      </c>
      <c r="G35" s="103">
        <v>0</v>
      </c>
      <c r="H35" s="119">
        <v>224.64</v>
      </c>
      <c r="I35" s="119">
        <v>6</v>
      </c>
      <c r="L35" s="45">
        <v>2009</v>
      </c>
      <c r="M35" s="45">
        <v>25</v>
      </c>
    </row>
    <row r="36" spans="2:13" s="22" customFormat="1" x14ac:dyDescent="0.3">
      <c r="B36" s="42">
        <f t="shared" si="0"/>
        <v>39839</v>
      </c>
      <c r="D36" s="103">
        <v>20.8538</v>
      </c>
      <c r="E36" s="103">
        <v>35.5</v>
      </c>
      <c r="F36" s="103">
        <v>7.25</v>
      </c>
      <c r="G36" s="103">
        <v>0</v>
      </c>
      <c r="H36" s="119">
        <v>190.08</v>
      </c>
      <c r="I36" s="119">
        <v>5</v>
      </c>
      <c r="L36" s="45">
        <v>2009</v>
      </c>
      <c r="M36" s="45">
        <v>26</v>
      </c>
    </row>
    <row r="37" spans="2:13" s="22" customFormat="1" x14ac:dyDescent="0.3">
      <c r="B37" s="42">
        <f t="shared" si="0"/>
        <v>39840</v>
      </c>
      <c r="D37" s="103">
        <v>21.138300000000001</v>
      </c>
      <c r="E37" s="103">
        <v>35</v>
      </c>
      <c r="F37" s="103">
        <v>8.5</v>
      </c>
      <c r="G37" s="103">
        <v>0</v>
      </c>
      <c r="H37" s="119">
        <v>224.64</v>
      </c>
      <c r="I37" s="119">
        <v>4</v>
      </c>
      <c r="L37" s="45">
        <v>2009</v>
      </c>
      <c r="M37" s="45">
        <v>27</v>
      </c>
    </row>
    <row r="38" spans="2:13" s="22" customFormat="1" x14ac:dyDescent="0.3">
      <c r="B38" s="42">
        <f t="shared" si="0"/>
        <v>39841</v>
      </c>
      <c r="D38" s="103">
        <v>20.898700000000002</v>
      </c>
      <c r="E38" s="103">
        <v>32.25</v>
      </c>
      <c r="F38" s="103">
        <v>8.5</v>
      </c>
      <c r="G38" s="103">
        <v>0</v>
      </c>
      <c r="H38" s="119">
        <v>276.48</v>
      </c>
      <c r="I38" s="119">
        <v>5</v>
      </c>
      <c r="L38" s="45">
        <v>2009</v>
      </c>
      <c r="M38" s="45">
        <v>28</v>
      </c>
    </row>
    <row r="39" spans="2:13" s="22" customFormat="1" x14ac:dyDescent="0.3">
      <c r="B39" s="42">
        <f t="shared" si="0"/>
        <v>39842</v>
      </c>
      <c r="D39" s="103">
        <v>21.0381</v>
      </c>
      <c r="E39" s="103">
        <v>35.25</v>
      </c>
      <c r="F39" s="103">
        <v>9.5</v>
      </c>
      <c r="G39" s="103">
        <v>0</v>
      </c>
      <c r="H39" s="119">
        <v>267.83999999999997</v>
      </c>
      <c r="I39" s="119">
        <v>6</v>
      </c>
      <c r="L39" s="45">
        <v>2009</v>
      </c>
      <c r="M39" s="45">
        <v>29</v>
      </c>
    </row>
    <row r="40" spans="2:13" s="22" customFormat="1" x14ac:dyDescent="0.3">
      <c r="B40" s="42">
        <f t="shared" si="0"/>
        <v>39843</v>
      </c>
      <c r="D40" s="103">
        <v>21.575399999999998</v>
      </c>
      <c r="E40" s="103">
        <v>36.5</v>
      </c>
      <c r="F40" s="103">
        <v>10.5</v>
      </c>
      <c r="G40" s="103">
        <v>0</v>
      </c>
      <c r="H40" s="119">
        <v>285.12</v>
      </c>
      <c r="I40" s="119">
        <v>6</v>
      </c>
      <c r="L40" s="45">
        <v>2009</v>
      </c>
      <c r="M40" s="45">
        <v>30</v>
      </c>
    </row>
    <row r="41" spans="2:13" s="22" customFormat="1" x14ac:dyDescent="0.3">
      <c r="B41" s="42">
        <f t="shared" si="0"/>
        <v>39844</v>
      </c>
      <c r="D41" s="103">
        <v>21.190200000000001</v>
      </c>
      <c r="E41" s="103">
        <v>37</v>
      </c>
      <c r="F41" s="103">
        <v>10.5</v>
      </c>
      <c r="G41" s="103">
        <v>0</v>
      </c>
      <c r="H41" s="119">
        <v>233.28</v>
      </c>
      <c r="I41" s="119">
        <v>5</v>
      </c>
      <c r="L41" s="45">
        <v>2009</v>
      </c>
      <c r="M41" s="45">
        <v>31</v>
      </c>
    </row>
    <row r="42" spans="2:13" s="22" customFormat="1" x14ac:dyDescent="0.3">
      <c r="B42" s="42">
        <f t="shared" si="0"/>
        <v>39845</v>
      </c>
      <c r="D42" s="103">
        <v>20.2775</v>
      </c>
      <c r="E42" s="103">
        <v>37.75</v>
      </c>
      <c r="F42" s="103">
        <v>10.5</v>
      </c>
      <c r="G42" s="103">
        <v>0</v>
      </c>
      <c r="H42" s="119">
        <v>216</v>
      </c>
      <c r="I42" s="119">
        <v>5</v>
      </c>
      <c r="L42" s="45">
        <v>2009</v>
      </c>
      <c r="M42" s="45">
        <v>32</v>
      </c>
    </row>
    <row r="43" spans="2:13" s="22" customFormat="1" x14ac:dyDescent="0.3">
      <c r="B43" s="42">
        <f t="shared" ref="B43:B106" si="1">DATE(L43-1,12,31)+M43</f>
        <v>39846</v>
      </c>
      <c r="D43" s="103">
        <v>20.688099999999999</v>
      </c>
      <c r="E43" s="103">
        <v>38.5</v>
      </c>
      <c r="F43" s="103">
        <v>12.25</v>
      </c>
      <c r="G43" s="103">
        <v>0</v>
      </c>
      <c r="H43" s="119">
        <v>138.24</v>
      </c>
      <c r="I43" s="119">
        <v>7</v>
      </c>
      <c r="L43" s="45">
        <v>2009</v>
      </c>
      <c r="M43" s="45">
        <v>33</v>
      </c>
    </row>
    <row r="44" spans="2:13" s="22" customFormat="1" x14ac:dyDescent="0.3">
      <c r="B44" s="42">
        <f t="shared" si="1"/>
        <v>39847</v>
      </c>
      <c r="D44" s="103">
        <v>19.909700000000001</v>
      </c>
      <c r="E44" s="103">
        <v>38.5</v>
      </c>
      <c r="F44" s="103">
        <v>13</v>
      </c>
      <c r="G44" s="103">
        <v>0</v>
      </c>
      <c r="H44" s="119">
        <v>164.16</v>
      </c>
      <c r="I44" s="119">
        <v>4</v>
      </c>
      <c r="L44" s="45">
        <v>2009</v>
      </c>
      <c r="M44" s="45">
        <v>34</v>
      </c>
    </row>
    <row r="45" spans="2:13" s="22" customFormat="1" x14ac:dyDescent="0.3">
      <c r="B45" s="42">
        <f t="shared" si="1"/>
        <v>39848</v>
      </c>
      <c r="D45" s="103">
        <v>19.6615</v>
      </c>
      <c r="E45" s="103">
        <v>38</v>
      </c>
      <c r="F45" s="103">
        <v>17.25</v>
      </c>
      <c r="G45" s="103">
        <v>0</v>
      </c>
      <c r="H45" s="119">
        <v>138.24</v>
      </c>
      <c r="I45" s="119">
        <v>25</v>
      </c>
      <c r="L45" s="45">
        <v>2009</v>
      </c>
      <c r="M45" s="45">
        <v>35</v>
      </c>
    </row>
    <row r="46" spans="2:13" s="22" customFormat="1" x14ac:dyDescent="0.3">
      <c r="B46" s="42">
        <f t="shared" si="1"/>
        <v>39849</v>
      </c>
      <c r="D46" s="103">
        <v>18.619</v>
      </c>
      <c r="E46" s="103">
        <v>37.5</v>
      </c>
      <c r="F46" s="103">
        <v>15.5</v>
      </c>
      <c r="G46" s="103">
        <v>0</v>
      </c>
      <c r="H46" s="119">
        <v>112.32</v>
      </c>
      <c r="I46" s="119">
        <v>9</v>
      </c>
      <c r="L46" s="45">
        <v>2009</v>
      </c>
      <c r="M46" s="45">
        <v>36</v>
      </c>
    </row>
    <row r="47" spans="2:13" s="22" customFormat="1" x14ac:dyDescent="0.3">
      <c r="B47" s="42">
        <f t="shared" si="1"/>
        <v>39850</v>
      </c>
      <c r="D47" s="103">
        <v>19.975000000000001</v>
      </c>
      <c r="E47" s="103">
        <v>38.5</v>
      </c>
      <c r="F47" s="103">
        <v>14.75</v>
      </c>
      <c r="G47" s="103">
        <v>0</v>
      </c>
      <c r="H47" s="119">
        <v>77.760000000000005</v>
      </c>
      <c r="I47" s="119">
        <v>30</v>
      </c>
      <c r="L47" s="45">
        <v>2009</v>
      </c>
      <c r="M47" s="45">
        <v>37</v>
      </c>
    </row>
    <row r="48" spans="2:13" s="22" customFormat="1" x14ac:dyDescent="0.3">
      <c r="B48" s="42">
        <f t="shared" si="1"/>
        <v>39851</v>
      </c>
      <c r="D48" s="103">
        <v>19.850000000000001</v>
      </c>
      <c r="E48" s="103">
        <v>39</v>
      </c>
      <c r="F48" s="103">
        <v>15</v>
      </c>
      <c r="G48" s="103">
        <v>0</v>
      </c>
      <c r="H48" s="119">
        <v>267.83999999999997</v>
      </c>
      <c r="I48" s="119">
        <v>5</v>
      </c>
      <c r="L48" s="45">
        <v>2009</v>
      </c>
      <c r="M48" s="45">
        <v>38</v>
      </c>
    </row>
    <row r="49" spans="2:13" s="22" customFormat="1" x14ac:dyDescent="0.3">
      <c r="B49" s="42">
        <f t="shared" si="1"/>
        <v>39852</v>
      </c>
      <c r="D49" s="103">
        <v>17.877700000000001</v>
      </c>
      <c r="E49" s="103">
        <v>35</v>
      </c>
      <c r="F49" s="103">
        <v>14.5</v>
      </c>
      <c r="G49" s="103">
        <v>0</v>
      </c>
      <c r="H49" s="119">
        <v>397.44</v>
      </c>
      <c r="I49" s="119">
        <v>8</v>
      </c>
      <c r="L49" s="45">
        <v>2009</v>
      </c>
      <c r="M49" s="45">
        <v>39</v>
      </c>
    </row>
    <row r="50" spans="2:13" s="22" customFormat="1" x14ac:dyDescent="0.3">
      <c r="B50" s="42">
        <f t="shared" si="1"/>
        <v>39853</v>
      </c>
      <c r="D50" s="103">
        <v>18.6798</v>
      </c>
      <c r="E50" s="103">
        <v>33.25</v>
      </c>
      <c r="F50" s="103">
        <v>12.5</v>
      </c>
      <c r="G50" s="103">
        <v>0</v>
      </c>
      <c r="H50" s="119">
        <v>319.68</v>
      </c>
      <c r="I50" s="119">
        <v>5</v>
      </c>
      <c r="L50" s="45">
        <v>2009</v>
      </c>
      <c r="M50" s="45">
        <v>40</v>
      </c>
    </row>
    <row r="51" spans="2:13" s="22" customFormat="1" x14ac:dyDescent="0.3">
      <c r="B51" s="42">
        <f t="shared" si="1"/>
        <v>39854</v>
      </c>
      <c r="D51" s="103">
        <v>19.3521</v>
      </c>
      <c r="E51" s="103">
        <v>35.25</v>
      </c>
      <c r="F51" s="103">
        <v>10.25</v>
      </c>
      <c r="G51" s="103">
        <v>0</v>
      </c>
      <c r="H51" s="119">
        <v>276.48</v>
      </c>
      <c r="I51" s="119">
        <v>4</v>
      </c>
      <c r="L51" s="45">
        <v>2009</v>
      </c>
      <c r="M51" s="45">
        <v>41</v>
      </c>
    </row>
    <row r="52" spans="2:13" s="22" customFormat="1" x14ac:dyDescent="0.3">
      <c r="B52" s="42">
        <f t="shared" si="1"/>
        <v>39855</v>
      </c>
      <c r="D52" s="103">
        <v>17.3811</v>
      </c>
      <c r="E52" s="103">
        <v>36.799999999999997</v>
      </c>
      <c r="F52" s="103">
        <v>13.5</v>
      </c>
      <c r="G52" s="103">
        <v>0</v>
      </c>
      <c r="H52" s="119">
        <v>250.56</v>
      </c>
      <c r="I52" s="119">
        <v>3</v>
      </c>
      <c r="L52" s="45">
        <v>2009</v>
      </c>
      <c r="M52" s="45">
        <v>42</v>
      </c>
    </row>
    <row r="53" spans="2:13" s="22" customFormat="1" x14ac:dyDescent="0.3">
      <c r="B53" s="42">
        <f t="shared" si="1"/>
        <v>39856</v>
      </c>
      <c r="D53" s="103">
        <v>17.2622</v>
      </c>
      <c r="E53" s="103">
        <v>38</v>
      </c>
      <c r="F53" s="103">
        <v>14.5</v>
      </c>
      <c r="G53" s="103">
        <v>0</v>
      </c>
      <c r="H53" s="119">
        <v>207.36</v>
      </c>
      <c r="I53" s="119">
        <v>5</v>
      </c>
      <c r="L53" s="45">
        <v>2009</v>
      </c>
      <c r="M53" s="45">
        <v>43</v>
      </c>
    </row>
    <row r="54" spans="2:13" s="22" customFormat="1" x14ac:dyDescent="0.3">
      <c r="B54" s="42">
        <f t="shared" si="1"/>
        <v>39857</v>
      </c>
      <c r="D54" s="103">
        <v>18.469200000000001</v>
      </c>
      <c r="E54" s="103">
        <v>38.200000000000003</v>
      </c>
      <c r="F54" s="103">
        <v>13</v>
      </c>
      <c r="G54" s="103">
        <v>0</v>
      </c>
      <c r="H54" s="119">
        <v>259.2</v>
      </c>
      <c r="I54" s="119">
        <v>4</v>
      </c>
      <c r="L54" s="45">
        <v>2009</v>
      </c>
      <c r="M54" s="45">
        <v>44</v>
      </c>
    </row>
    <row r="55" spans="2:13" s="22" customFormat="1" x14ac:dyDescent="0.3">
      <c r="B55" s="42">
        <f t="shared" si="1"/>
        <v>39858</v>
      </c>
      <c r="D55" s="103">
        <v>19.8124</v>
      </c>
      <c r="E55" s="103">
        <v>37</v>
      </c>
      <c r="F55" s="103">
        <v>11.5</v>
      </c>
      <c r="G55" s="103">
        <v>0</v>
      </c>
      <c r="H55" s="119">
        <v>285.12</v>
      </c>
      <c r="I55" s="119">
        <v>4</v>
      </c>
      <c r="L55" s="45">
        <v>2009</v>
      </c>
      <c r="M55" s="45">
        <v>45</v>
      </c>
    </row>
    <row r="56" spans="2:13" s="22" customFormat="1" x14ac:dyDescent="0.3">
      <c r="B56" s="42">
        <f t="shared" si="1"/>
        <v>39859</v>
      </c>
      <c r="D56" s="103">
        <v>18.391400000000001</v>
      </c>
      <c r="E56" s="103">
        <v>37.700000000000003</v>
      </c>
      <c r="F56" s="103">
        <v>12.5</v>
      </c>
      <c r="G56" s="103">
        <v>0</v>
      </c>
      <c r="H56" s="119">
        <v>207.36</v>
      </c>
      <c r="I56" s="119">
        <v>3</v>
      </c>
      <c r="L56" s="45">
        <v>2009</v>
      </c>
      <c r="M56" s="45">
        <v>46</v>
      </c>
    </row>
    <row r="57" spans="2:13" s="22" customFormat="1" x14ac:dyDescent="0.3">
      <c r="B57" s="42">
        <f t="shared" si="1"/>
        <v>39860</v>
      </c>
      <c r="D57" s="103">
        <v>16.681699999999999</v>
      </c>
      <c r="E57" s="103">
        <v>38.5</v>
      </c>
      <c r="F57" s="103">
        <v>16.5</v>
      </c>
      <c r="G57" s="103">
        <v>0</v>
      </c>
      <c r="H57" s="119">
        <v>51.84</v>
      </c>
      <c r="I57" s="119">
        <v>19</v>
      </c>
      <c r="L57" s="45">
        <v>2009</v>
      </c>
      <c r="M57" s="45">
        <v>47</v>
      </c>
    </row>
    <row r="58" spans="2:13" s="22" customFormat="1" x14ac:dyDescent="0.3">
      <c r="B58" s="42">
        <f t="shared" si="1"/>
        <v>39861</v>
      </c>
      <c r="D58" s="103">
        <v>7.9729000000000001</v>
      </c>
      <c r="E58" s="103">
        <v>35.950000000000003</v>
      </c>
      <c r="F58" s="103">
        <v>17</v>
      </c>
      <c r="G58" s="103">
        <v>0</v>
      </c>
      <c r="H58" s="119">
        <v>112.32</v>
      </c>
      <c r="I58" s="119">
        <v>39</v>
      </c>
      <c r="L58" s="45">
        <v>2009</v>
      </c>
      <c r="M58" s="45">
        <v>48</v>
      </c>
    </row>
    <row r="59" spans="2:13" s="22" customFormat="1" x14ac:dyDescent="0.3">
      <c r="B59" s="42">
        <f t="shared" si="1"/>
        <v>39862</v>
      </c>
      <c r="D59" s="103">
        <v>14.055300000000001</v>
      </c>
      <c r="E59" s="103">
        <v>34.75</v>
      </c>
      <c r="F59" s="103">
        <v>22</v>
      </c>
      <c r="G59" s="103">
        <v>1.5</v>
      </c>
      <c r="H59" s="119">
        <v>155.52000000000001</v>
      </c>
      <c r="I59" s="119">
        <v>50</v>
      </c>
      <c r="L59" s="45">
        <v>2009</v>
      </c>
      <c r="M59" s="45">
        <v>49</v>
      </c>
    </row>
    <row r="60" spans="2:13" s="22" customFormat="1" x14ac:dyDescent="0.3">
      <c r="B60" s="42">
        <f t="shared" si="1"/>
        <v>39863</v>
      </c>
      <c r="D60" s="103">
        <v>7.4540800000000003</v>
      </c>
      <c r="E60" s="103">
        <v>30.95</v>
      </c>
      <c r="F60" s="103">
        <v>20.25</v>
      </c>
      <c r="G60" s="103">
        <v>0</v>
      </c>
      <c r="H60" s="119">
        <v>216</v>
      </c>
      <c r="I60" s="119">
        <v>21</v>
      </c>
      <c r="L60" s="45">
        <v>2009</v>
      </c>
      <c r="M60" s="45">
        <v>50</v>
      </c>
    </row>
    <row r="61" spans="2:13" s="22" customFormat="1" x14ac:dyDescent="0.3">
      <c r="B61" s="42">
        <f t="shared" si="1"/>
        <v>39864</v>
      </c>
      <c r="D61" s="103">
        <v>11.1638</v>
      </c>
      <c r="E61" s="103">
        <v>30.5</v>
      </c>
      <c r="F61" s="103">
        <v>20.75</v>
      </c>
      <c r="G61" s="103">
        <v>0</v>
      </c>
      <c r="H61" s="119">
        <v>388.8</v>
      </c>
      <c r="I61" s="119">
        <v>20</v>
      </c>
      <c r="L61" s="45">
        <v>2009</v>
      </c>
      <c r="M61" s="45">
        <v>51</v>
      </c>
    </row>
    <row r="62" spans="2:13" s="22" customFormat="1" x14ac:dyDescent="0.3">
      <c r="B62" s="42">
        <f t="shared" si="1"/>
        <v>39865</v>
      </c>
      <c r="D62" s="103">
        <v>19.247800000000002</v>
      </c>
      <c r="E62" s="103">
        <v>35.5</v>
      </c>
      <c r="F62" s="103">
        <v>19.5</v>
      </c>
      <c r="G62" s="103">
        <v>0</v>
      </c>
      <c r="H62" s="119">
        <v>406.08</v>
      </c>
      <c r="I62" s="119">
        <v>16</v>
      </c>
      <c r="L62" s="45">
        <v>2009</v>
      </c>
      <c r="M62" s="45">
        <v>52</v>
      </c>
    </row>
    <row r="63" spans="2:13" s="22" customFormat="1" x14ac:dyDescent="0.3">
      <c r="B63" s="42">
        <f t="shared" si="1"/>
        <v>39866</v>
      </c>
      <c r="D63" s="103">
        <v>17.674399999999999</v>
      </c>
      <c r="E63" s="103">
        <v>37.75</v>
      </c>
      <c r="F63" s="103">
        <v>19.25</v>
      </c>
      <c r="G63" s="103">
        <v>0</v>
      </c>
      <c r="H63" s="119">
        <v>397.44</v>
      </c>
      <c r="I63" s="119">
        <v>13</v>
      </c>
      <c r="L63" s="45">
        <v>2009</v>
      </c>
      <c r="M63" s="45">
        <v>53</v>
      </c>
    </row>
    <row r="64" spans="2:13" s="22" customFormat="1" x14ac:dyDescent="0.3">
      <c r="B64" s="42">
        <f t="shared" si="1"/>
        <v>39867</v>
      </c>
      <c r="D64" s="103">
        <v>18.486499999999999</v>
      </c>
      <c r="E64" s="103">
        <v>38</v>
      </c>
      <c r="F64" s="103">
        <v>20.5</v>
      </c>
      <c r="G64" s="103">
        <v>0</v>
      </c>
      <c r="H64" s="119">
        <v>328.32</v>
      </c>
      <c r="I64" s="119">
        <v>14</v>
      </c>
      <c r="L64" s="45">
        <v>2009</v>
      </c>
      <c r="M64" s="45">
        <v>54</v>
      </c>
    </row>
    <row r="65" spans="2:13" s="22" customFormat="1" x14ac:dyDescent="0.3">
      <c r="B65" s="42">
        <f t="shared" si="1"/>
        <v>39868</v>
      </c>
      <c r="D65" s="103">
        <v>19.843</v>
      </c>
      <c r="E65" s="103">
        <v>38</v>
      </c>
      <c r="F65" s="103">
        <v>15</v>
      </c>
      <c r="G65" s="103">
        <v>0</v>
      </c>
      <c r="H65" s="119">
        <v>276.48</v>
      </c>
      <c r="I65" s="119">
        <v>8</v>
      </c>
      <c r="L65" s="45">
        <v>2009</v>
      </c>
      <c r="M65" s="45">
        <v>55</v>
      </c>
    </row>
    <row r="66" spans="2:13" s="22" customFormat="1" x14ac:dyDescent="0.3">
      <c r="B66" s="42">
        <f t="shared" si="1"/>
        <v>39869</v>
      </c>
      <c r="D66" s="103">
        <v>19.718</v>
      </c>
      <c r="E66" s="103">
        <v>38.5</v>
      </c>
      <c r="F66" s="103">
        <v>14.5</v>
      </c>
      <c r="G66" s="103">
        <v>0</v>
      </c>
      <c r="H66" s="119">
        <v>233.28</v>
      </c>
      <c r="I66" s="119">
        <v>5</v>
      </c>
      <c r="L66" s="45">
        <v>2009</v>
      </c>
      <c r="M66" s="45">
        <v>56</v>
      </c>
    </row>
    <row r="67" spans="2:13" s="22" customFormat="1" x14ac:dyDescent="0.3">
      <c r="B67" s="42">
        <f t="shared" si="1"/>
        <v>39870</v>
      </c>
      <c r="D67" s="103">
        <v>16.6891</v>
      </c>
      <c r="E67" s="103">
        <v>39</v>
      </c>
      <c r="F67" s="103">
        <v>15.5</v>
      </c>
      <c r="G67" s="103">
        <v>0</v>
      </c>
      <c r="H67" s="119">
        <v>198.72</v>
      </c>
      <c r="I67" s="119">
        <v>21</v>
      </c>
      <c r="L67" s="45">
        <v>2009</v>
      </c>
      <c r="M67" s="45">
        <v>57</v>
      </c>
    </row>
    <row r="68" spans="2:13" s="22" customFormat="1" x14ac:dyDescent="0.3">
      <c r="B68" s="42">
        <f t="shared" si="1"/>
        <v>39871</v>
      </c>
      <c r="D68" s="103">
        <v>18.811900000000001</v>
      </c>
      <c r="E68" s="103">
        <v>39.5</v>
      </c>
      <c r="F68" s="103">
        <v>18</v>
      </c>
      <c r="G68" s="103">
        <v>0</v>
      </c>
      <c r="H68" s="119">
        <v>207.36</v>
      </c>
      <c r="I68" s="119">
        <v>30</v>
      </c>
      <c r="L68" s="45">
        <v>2009</v>
      </c>
      <c r="M68" s="45">
        <v>58</v>
      </c>
    </row>
    <row r="69" spans="2:13" s="22" customFormat="1" x14ac:dyDescent="0.3">
      <c r="B69" s="42">
        <f t="shared" si="1"/>
        <v>39872</v>
      </c>
      <c r="D69" s="103">
        <v>15.914899999999999</v>
      </c>
      <c r="E69" s="103">
        <v>40</v>
      </c>
      <c r="F69" s="103">
        <v>20</v>
      </c>
      <c r="G69" s="103">
        <v>0</v>
      </c>
      <c r="H69" s="119">
        <v>129.6</v>
      </c>
      <c r="I69" s="119">
        <v>33</v>
      </c>
      <c r="L69" s="45">
        <v>2009</v>
      </c>
      <c r="M69" s="45">
        <v>59</v>
      </c>
    </row>
    <row r="70" spans="2:13" s="22" customFormat="1" x14ac:dyDescent="0.3">
      <c r="B70" s="42">
        <f t="shared" si="1"/>
        <v>39873</v>
      </c>
      <c r="D70" s="103">
        <v>17.513400000000001</v>
      </c>
      <c r="E70" s="103">
        <v>39.25</v>
      </c>
      <c r="F70" s="103">
        <v>23.75</v>
      </c>
      <c r="G70" s="103">
        <v>0</v>
      </c>
      <c r="H70" s="119">
        <v>112.32</v>
      </c>
      <c r="I70" s="119">
        <v>23</v>
      </c>
      <c r="L70" s="45">
        <v>2009</v>
      </c>
      <c r="M70" s="45">
        <v>60</v>
      </c>
    </row>
    <row r="71" spans="2:13" s="22" customFormat="1" x14ac:dyDescent="0.3">
      <c r="B71" s="42">
        <f t="shared" si="1"/>
        <v>39874</v>
      </c>
      <c r="D71" s="103">
        <v>17.394500000000001</v>
      </c>
      <c r="E71" s="103">
        <v>39</v>
      </c>
      <c r="F71" s="103">
        <v>18</v>
      </c>
      <c r="G71" s="103">
        <v>0</v>
      </c>
      <c r="H71" s="119">
        <v>216</v>
      </c>
      <c r="I71" s="119">
        <v>12</v>
      </c>
      <c r="L71" s="45">
        <v>2009</v>
      </c>
      <c r="M71" s="45">
        <v>61</v>
      </c>
    </row>
    <row r="72" spans="2:13" s="22" customFormat="1" x14ac:dyDescent="0.3">
      <c r="B72" s="42">
        <f t="shared" si="1"/>
        <v>39875</v>
      </c>
      <c r="D72" s="103">
        <v>16.217099999999999</v>
      </c>
      <c r="E72" s="103">
        <v>39.5</v>
      </c>
      <c r="F72" s="103">
        <v>18.5</v>
      </c>
      <c r="G72" s="103">
        <v>0</v>
      </c>
      <c r="H72" s="119">
        <v>155.52000000000001</v>
      </c>
      <c r="I72" s="119">
        <v>30</v>
      </c>
      <c r="L72" s="45">
        <v>2009</v>
      </c>
      <c r="M72" s="45">
        <v>62</v>
      </c>
    </row>
    <row r="73" spans="2:13" s="22" customFormat="1" x14ac:dyDescent="0.3">
      <c r="B73" s="42">
        <f t="shared" si="1"/>
        <v>39876</v>
      </c>
      <c r="D73" s="103">
        <v>11.591799999999999</v>
      </c>
      <c r="E73" s="103">
        <v>40</v>
      </c>
      <c r="F73" s="103">
        <v>20.25</v>
      </c>
      <c r="G73" s="103">
        <v>0</v>
      </c>
      <c r="H73" s="119">
        <v>112.32</v>
      </c>
      <c r="I73" s="119">
        <v>12</v>
      </c>
      <c r="L73" s="45">
        <v>2009</v>
      </c>
      <c r="M73" s="45">
        <v>63</v>
      </c>
    </row>
    <row r="74" spans="2:13" s="22" customFormat="1" x14ac:dyDescent="0.3">
      <c r="B74" s="42">
        <f t="shared" si="1"/>
        <v>39877</v>
      </c>
      <c r="D74" s="103">
        <v>16.939699999999998</v>
      </c>
      <c r="E74" s="103">
        <v>39.75</v>
      </c>
      <c r="F74" s="103">
        <v>23.45</v>
      </c>
      <c r="G74" s="103">
        <v>0</v>
      </c>
      <c r="H74" s="119">
        <v>328.32</v>
      </c>
      <c r="I74" s="119">
        <v>6</v>
      </c>
      <c r="L74" s="45">
        <v>2009</v>
      </c>
      <c r="M74" s="45">
        <v>64</v>
      </c>
    </row>
    <row r="75" spans="2:13" s="22" customFormat="1" x14ac:dyDescent="0.3">
      <c r="B75" s="42">
        <f t="shared" si="1"/>
        <v>39878</v>
      </c>
      <c r="D75" s="103">
        <v>19.321899999999999</v>
      </c>
      <c r="E75" s="103">
        <v>39.5</v>
      </c>
      <c r="F75" s="103">
        <v>18</v>
      </c>
      <c r="G75" s="103">
        <v>0</v>
      </c>
      <c r="H75" s="119">
        <v>276.48</v>
      </c>
      <c r="I75" s="119">
        <v>5</v>
      </c>
      <c r="L75" s="45">
        <v>2009</v>
      </c>
      <c r="M75" s="45">
        <v>65</v>
      </c>
    </row>
    <row r="76" spans="2:13" s="22" customFormat="1" x14ac:dyDescent="0.3">
      <c r="B76" s="42">
        <f t="shared" si="1"/>
        <v>39879</v>
      </c>
      <c r="D76" s="103">
        <v>21.179300000000001</v>
      </c>
      <c r="E76" s="103">
        <v>38</v>
      </c>
      <c r="F76" s="103">
        <v>14.25</v>
      </c>
      <c r="G76" s="103">
        <v>0</v>
      </c>
      <c r="H76" s="119">
        <v>311.04000000000002</v>
      </c>
      <c r="I76" s="119">
        <v>5</v>
      </c>
      <c r="L76" s="45">
        <v>2009</v>
      </c>
      <c r="M76" s="45">
        <v>66</v>
      </c>
    </row>
    <row r="77" spans="2:13" s="22" customFormat="1" x14ac:dyDescent="0.3">
      <c r="B77" s="42">
        <f t="shared" si="1"/>
        <v>39880</v>
      </c>
      <c r="D77" s="103">
        <v>21.8508</v>
      </c>
      <c r="E77" s="103">
        <v>37.75</v>
      </c>
      <c r="F77" s="103">
        <v>13</v>
      </c>
      <c r="G77" s="103">
        <v>0</v>
      </c>
      <c r="H77" s="119">
        <v>267.83999999999997</v>
      </c>
      <c r="I77" s="119">
        <v>5</v>
      </c>
      <c r="L77" s="45">
        <v>2009</v>
      </c>
      <c r="M77" s="45">
        <v>67</v>
      </c>
    </row>
    <row r="78" spans="2:13" s="22" customFormat="1" x14ac:dyDescent="0.3">
      <c r="B78" s="42">
        <f t="shared" si="1"/>
        <v>39881</v>
      </c>
      <c r="D78" s="103">
        <v>21.070699999999999</v>
      </c>
      <c r="E78" s="103">
        <v>36</v>
      </c>
      <c r="F78" s="103">
        <v>13.25</v>
      </c>
      <c r="G78" s="103">
        <v>0</v>
      </c>
      <c r="H78" s="119">
        <v>181.44</v>
      </c>
      <c r="I78" s="119">
        <v>4</v>
      </c>
      <c r="L78" s="45">
        <v>2009</v>
      </c>
      <c r="M78" s="45">
        <v>68</v>
      </c>
    </row>
    <row r="79" spans="2:13" s="22" customFormat="1" x14ac:dyDescent="0.3">
      <c r="B79" s="42">
        <f t="shared" si="1"/>
        <v>39882</v>
      </c>
      <c r="D79" s="103">
        <v>22.1433</v>
      </c>
      <c r="E79" s="103">
        <v>40.25</v>
      </c>
      <c r="F79" s="103">
        <v>15.25</v>
      </c>
      <c r="G79" s="103">
        <v>0</v>
      </c>
      <c r="H79" s="119">
        <v>164.16</v>
      </c>
      <c r="I79" s="119">
        <v>16</v>
      </c>
      <c r="L79" s="45">
        <v>2009</v>
      </c>
      <c r="M79" s="45">
        <v>69</v>
      </c>
    </row>
    <row r="80" spans="2:13" s="22" customFormat="1" x14ac:dyDescent="0.3">
      <c r="B80" s="42">
        <f t="shared" si="1"/>
        <v>39883</v>
      </c>
      <c r="D80" s="103">
        <v>20.703900000000001</v>
      </c>
      <c r="E80" s="103">
        <v>39.25</v>
      </c>
      <c r="F80" s="103">
        <v>23.75</v>
      </c>
      <c r="G80" s="103">
        <v>0</v>
      </c>
      <c r="H80" s="119">
        <v>224.64</v>
      </c>
      <c r="I80" s="119">
        <v>25</v>
      </c>
      <c r="L80" s="45">
        <v>2009</v>
      </c>
      <c r="M80" s="45">
        <v>70</v>
      </c>
    </row>
    <row r="81" spans="2:13" s="22" customFormat="1" x14ac:dyDescent="0.3">
      <c r="B81" s="42">
        <f t="shared" si="1"/>
        <v>39884</v>
      </c>
      <c r="D81" s="103">
        <v>19.264099999999999</v>
      </c>
      <c r="E81" s="103">
        <v>37.5</v>
      </c>
      <c r="F81" s="103">
        <v>21</v>
      </c>
      <c r="G81" s="103">
        <v>0</v>
      </c>
      <c r="H81" s="119">
        <v>241.92</v>
      </c>
      <c r="I81" s="119">
        <v>33</v>
      </c>
      <c r="L81" s="45">
        <v>2009</v>
      </c>
      <c r="M81" s="45">
        <v>71</v>
      </c>
    </row>
    <row r="82" spans="2:13" s="22" customFormat="1" x14ac:dyDescent="0.3">
      <c r="B82" s="42">
        <f t="shared" si="1"/>
        <v>39885</v>
      </c>
      <c r="D82" s="103">
        <v>16.762799999999999</v>
      </c>
      <c r="E82" s="103">
        <v>36.5</v>
      </c>
      <c r="F82" s="103">
        <v>23.5</v>
      </c>
      <c r="G82" s="103">
        <v>3</v>
      </c>
      <c r="H82" s="119">
        <v>198.72</v>
      </c>
      <c r="I82" s="119">
        <v>36</v>
      </c>
      <c r="L82" s="45">
        <v>2009</v>
      </c>
      <c r="M82" s="45">
        <v>72</v>
      </c>
    </row>
    <row r="83" spans="2:13" s="22" customFormat="1" x14ac:dyDescent="0.3">
      <c r="B83" s="42">
        <f t="shared" si="1"/>
        <v>39886</v>
      </c>
      <c r="D83" s="103">
        <v>14.0364</v>
      </c>
      <c r="E83" s="103">
        <v>37</v>
      </c>
      <c r="F83" s="103">
        <v>22</v>
      </c>
      <c r="G83" s="103">
        <v>0</v>
      </c>
      <c r="H83" s="119">
        <v>86.4</v>
      </c>
      <c r="I83" s="119">
        <v>24</v>
      </c>
      <c r="L83" s="45">
        <v>2009</v>
      </c>
      <c r="M83" s="45">
        <v>73</v>
      </c>
    </row>
    <row r="84" spans="2:13" s="22" customFormat="1" x14ac:dyDescent="0.3">
      <c r="B84" s="42">
        <f t="shared" si="1"/>
        <v>39887</v>
      </c>
      <c r="D84" s="103">
        <v>18.3979</v>
      </c>
      <c r="E84" s="103">
        <v>38.5</v>
      </c>
      <c r="F84" s="103">
        <v>25</v>
      </c>
      <c r="G84" s="103">
        <v>0</v>
      </c>
      <c r="H84" s="119">
        <v>60.48</v>
      </c>
      <c r="I84" s="119">
        <v>14</v>
      </c>
      <c r="L84" s="45">
        <v>2009</v>
      </c>
      <c r="M84" s="45">
        <v>74</v>
      </c>
    </row>
    <row r="85" spans="2:13" s="22" customFormat="1" x14ac:dyDescent="0.3">
      <c r="B85" s="42">
        <f t="shared" si="1"/>
        <v>39888</v>
      </c>
      <c r="D85" s="103">
        <v>17.613499999999998</v>
      </c>
      <c r="E85" s="103">
        <v>39</v>
      </c>
      <c r="F85" s="103">
        <v>22.5</v>
      </c>
      <c r="G85" s="103">
        <v>0</v>
      </c>
      <c r="H85" s="119">
        <v>69.12</v>
      </c>
      <c r="I85" s="119">
        <v>9</v>
      </c>
      <c r="L85" s="45">
        <v>2009</v>
      </c>
      <c r="M85" s="45">
        <v>75</v>
      </c>
    </row>
    <row r="86" spans="2:13" s="22" customFormat="1" x14ac:dyDescent="0.3">
      <c r="B86" s="42">
        <f t="shared" si="1"/>
        <v>39889</v>
      </c>
      <c r="D86" s="103">
        <v>17.622800000000002</v>
      </c>
      <c r="E86" s="103">
        <v>40.25</v>
      </c>
      <c r="F86" s="103">
        <v>24.5</v>
      </c>
      <c r="G86" s="103">
        <v>0</v>
      </c>
      <c r="H86" s="119">
        <v>250.56</v>
      </c>
      <c r="I86" s="119">
        <v>18</v>
      </c>
      <c r="L86" s="45">
        <v>2009</v>
      </c>
      <c r="M86" s="45">
        <v>76</v>
      </c>
    </row>
    <row r="87" spans="2:13" s="22" customFormat="1" x14ac:dyDescent="0.3">
      <c r="B87" s="42">
        <f t="shared" si="1"/>
        <v>39890</v>
      </c>
      <c r="D87" s="103">
        <v>18.8233</v>
      </c>
      <c r="E87" s="103">
        <v>38.5</v>
      </c>
      <c r="F87" s="103">
        <v>24.75</v>
      </c>
      <c r="G87" s="103">
        <v>0</v>
      </c>
      <c r="H87" s="119">
        <v>285.12</v>
      </c>
      <c r="I87" s="119">
        <v>31</v>
      </c>
      <c r="L87" s="45">
        <v>2009</v>
      </c>
      <c r="M87" s="45">
        <v>77</v>
      </c>
    </row>
    <row r="88" spans="2:13" s="22" customFormat="1" x14ac:dyDescent="0.3">
      <c r="B88" s="42">
        <f t="shared" si="1"/>
        <v>39891</v>
      </c>
      <c r="D88" s="103">
        <v>19.497599999999998</v>
      </c>
      <c r="E88" s="103">
        <v>38</v>
      </c>
      <c r="F88" s="103">
        <v>27.5</v>
      </c>
      <c r="G88" s="103">
        <v>0</v>
      </c>
      <c r="H88" s="119">
        <v>172.8</v>
      </c>
      <c r="I88" s="119">
        <v>20</v>
      </c>
      <c r="L88" s="45">
        <v>2009</v>
      </c>
      <c r="M88" s="45">
        <v>78</v>
      </c>
    </row>
    <row r="89" spans="2:13" s="22" customFormat="1" x14ac:dyDescent="0.3">
      <c r="B89" s="42">
        <f t="shared" si="1"/>
        <v>39892</v>
      </c>
      <c r="D89" s="103">
        <v>15.1442</v>
      </c>
      <c r="E89" s="103">
        <v>32.75</v>
      </c>
      <c r="F89" s="103">
        <v>23.25</v>
      </c>
      <c r="G89" s="103">
        <v>3</v>
      </c>
      <c r="H89" s="119">
        <v>77.760000000000005</v>
      </c>
      <c r="I89" s="119">
        <v>30</v>
      </c>
      <c r="L89" s="45">
        <v>2009</v>
      </c>
      <c r="M89" s="45">
        <v>79</v>
      </c>
    </row>
    <row r="90" spans="2:13" s="22" customFormat="1" x14ac:dyDescent="0.3">
      <c r="B90" s="42">
        <f t="shared" si="1"/>
        <v>39893</v>
      </c>
      <c r="D90" s="103">
        <v>19.396599999999999</v>
      </c>
      <c r="E90" s="103">
        <v>32.700000000000003</v>
      </c>
      <c r="F90" s="103">
        <v>22.5</v>
      </c>
      <c r="G90" s="103">
        <v>0</v>
      </c>
      <c r="H90" s="119">
        <v>112.32</v>
      </c>
      <c r="I90" s="119">
        <v>16</v>
      </c>
      <c r="L90" s="45">
        <v>2009</v>
      </c>
      <c r="M90" s="45">
        <v>80</v>
      </c>
    </row>
    <row r="91" spans="2:13" s="22" customFormat="1" x14ac:dyDescent="0.3">
      <c r="B91" s="42">
        <f t="shared" si="1"/>
        <v>39894</v>
      </c>
      <c r="D91" s="103">
        <v>20.740500000000001</v>
      </c>
      <c r="E91" s="103">
        <v>38</v>
      </c>
      <c r="F91" s="103">
        <v>21</v>
      </c>
      <c r="G91" s="103">
        <v>0</v>
      </c>
      <c r="H91" s="119">
        <v>267.83999999999997</v>
      </c>
      <c r="I91" s="119">
        <v>8</v>
      </c>
      <c r="L91" s="45">
        <v>2009</v>
      </c>
      <c r="M91" s="45">
        <v>81</v>
      </c>
    </row>
    <row r="92" spans="2:13" s="22" customFormat="1" x14ac:dyDescent="0.3">
      <c r="B92" s="42">
        <f t="shared" si="1"/>
        <v>39895</v>
      </c>
      <c r="D92" s="103">
        <v>20.7668</v>
      </c>
      <c r="E92" s="103">
        <v>41.2</v>
      </c>
      <c r="F92" s="103">
        <v>19.5</v>
      </c>
      <c r="G92" s="103">
        <v>0</v>
      </c>
      <c r="H92" s="119">
        <v>172.8</v>
      </c>
      <c r="I92" s="119">
        <v>30</v>
      </c>
      <c r="L92" s="45">
        <v>2009</v>
      </c>
      <c r="M92" s="45">
        <v>82</v>
      </c>
    </row>
    <row r="93" spans="2:13" s="22" customFormat="1" x14ac:dyDescent="0.3">
      <c r="B93" s="42">
        <f t="shared" si="1"/>
        <v>39896</v>
      </c>
      <c r="D93" s="103">
        <v>16.4177</v>
      </c>
      <c r="E93" s="103">
        <v>39.5</v>
      </c>
      <c r="F93" s="103">
        <v>24.25</v>
      </c>
      <c r="G93" s="103">
        <v>1</v>
      </c>
      <c r="H93" s="119">
        <v>181.44</v>
      </c>
      <c r="I93" s="119">
        <v>35</v>
      </c>
      <c r="L93" s="45">
        <v>2009</v>
      </c>
      <c r="M93" s="45">
        <v>83</v>
      </c>
    </row>
    <row r="94" spans="2:13" s="22" customFormat="1" x14ac:dyDescent="0.3">
      <c r="B94" s="42">
        <f t="shared" si="1"/>
        <v>39897</v>
      </c>
      <c r="D94" s="103">
        <v>20.651</v>
      </c>
      <c r="E94" s="103">
        <v>39.5</v>
      </c>
      <c r="F94" s="103">
        <v>24</v>
      </c>
      <c r="G94" s="103">
        <v>0</v>
      </c>
      <c r="H94" s="119">
        <v>43.2</v>
      </c>
      <c r="I94" s="119">
        <v>18</v>
      </c>
      <c r="L94" s="45">
        <v>2009</v>
      </c>
      <c r="M94" s="45">
        <v>84</v>
      </c>
    </row>
    <row r="95" spans="2:13" s="22" customFormat="1" x14ac:dyDescent="0.3">
      <c r="B95" s="42">
        <f t="shared" si="1"/>
        <v>39898</v>
      </c>
      <c r="D95" s="103">
        <v>14.055300000000001</v>
      </c>
      <c r="E95" s="103">
        <v>40</v>
      </c>
      <c r="F95" s="103">
        <v>25.5</v>
      </c>
      <c r="G95" s="103">
        <v>0</v>
      </c>
      <c r="H95" s="119">
        <v>164.16</v>
      </c>
      <c r="I95" s="119">
        <v>28</v>
      </c>
      <c r="L95" s="45">
        <v>2009</v>
      </c>
      <c r="M95" s="45">
        <v>85</v>
      </c>
    </row>
    <row r="96" spans="2:13" s="22" customFormat="1" x14ac:dyDescent="0.3">
      <c r="B96" s="42">
        <f t="shared" si="1"/>
        <v>39899</v>
      </c>
      <c r="D96" s="103">
        <v>19.3521</v>
      </c>
      <c r="E96" s="103">
        <v>39.75</v>
      </c>
      <c r="F96" s="103">
        <v>26.25</v>
      </c>
      <c r="G96" s="103">
        <v>0</v>
      </c>
      <c r="H96" s="119">
        <v>60.48</v>
      </c>
      <c r="I96" s="119">
        <v>15</v>
      </c>
      <c r="L96" s="45">
        <v>2009</v>
      </c>
      <c r="M96" s="45">
        <v>86</v>
      </c>
    </row>
    <row r="97" spans="2:13" s="22" customFormat="1" x14ac:dyDescent="0.3">
      <c r="B97" s="42">
        <f t="shared" si="1"/>
        <v>39900</v>
      </c>
      <c r="D97" s="103">
        <v>13.015700000000001</v>
      </c>
      <c r="E97" s="103">
        <v>39.5</v>
      </c>
      <c r="F97" s="103">
        <v>28.25</v>
      </c>
      <c r="G97" s="103">
        <v>0</v>
      </c>
      <c r="H97" s="119">
        <v>207.36</v>
      </c>
      <c r="I97" s="119">
        <v>22</v>
      </c>
      <c r="L97" s="45">
        <v>2009</v>
      </c>
      <c r="M97" s="45">
        <v>87</v>
      </c>
    </row>
    <row r="98" spans="2:13" s="22" customFormat="1" x14ac:dyDescent="0.3">
      <c r="B98" s="42">
        <f t="shared" si="1"/>
        <v>39901</v>
      </c>
      <c r="D98" s="103">
        <v>11.702400000000001</v>
      </c>
      <c r="E98" s="103">
        <v>38.950000000000003</v>
      </c>
      <c r="F98" s="103">
        <v>27.4</v>
      </c>
      <c r="G98" s="103">
        <v>0</v>
      </c>
      <c r="H98" s="119">
        <v>259.2</v>
      </c>
      <c r="I98" s="119">
        <v>10</v>
      </c>
      <c r="L98" s="45">
        <v>2009</v>
      </c>
      <c r="M98" s="45">
        <v>88</v>
      </c>
    </row>
    <row r="99" spans="2:13" s="22" customFormat="1" x14ac:dyDescent="0.3">
      <c r="B99" s="42">
        <f t="shared" si="1"/>
        <v>39902</v>
      </c>
      <c r="D99" s="103">
        <v>15.4223</v>
      </c>
      <c r="E99" s="103">
        <v>39.25</v>
      </c>
      <c r="F99" s="103">
        <v>26.75</v>
      </c>
      <c r="G99" s="103">
        <v>0</v>
      </c>
      <c r="H99" s="119">
        <v>138.24</v>
      </c>
      <c r="I99" s="119">
        <v>11</v>
      </c>
      <c r="L99" s="45">
        <v>2009</v>
      </c>
      <c r="M99" s="45">
        <v>89</v>
      </c>
    </row>
    <row r="100" spans="2:13" s="22" customFormat="1" x14ac:dyDescent="0.3">
      <c r="B100" s="42">
        <f t="shared" si="1"/>
        <v>39903</v>
      </c>
      <c r="D100" s="103">
        <v>16.232399999999998</v>
      </c>
      <c r="E100" s="103">
        <v>40</v>
      </c>
      <c r="F100" s="103">
        <v>26</v>
      </c>
      <c r="G100" s="103">
        <v>0</v>
      </c>
      <c r="H100" s="119">
        <v>328.32</v>
      </c>
      <c r="I100" s="119">
        <v>9</v>
      </c>
      <c r="L100" s="45">
        <v>2009</v>
      </c>
      <c r="M100" s="45">
        <v>90</v>
      </c>
    </row>
    <row r="101" spans="2:13" s="22" customFormat="1" x14ac:dyDescent="0.3">
      <c r="B101" s="42">
        <f t="shared" si="1"/>
        <v>39904</v>
      </c>
      <c r="D101" s="103">
        <v>20.7668</v>
      </c>
      <c r="E101" s="103">
        <v>40</v>
      </c>
      <c r="F101" s="103">
        <v>27.7</v>
      </c>
      <c r="G101" s="103">
        <v>0</v>
      </c>
      <c r="H101" s="119">
        <v>207.36</v>
      </c>
      <c r="I101" s="119">
        <v>10</v>
      </c>
      <c r="L101" s="45">
        <v>2009</v>
      </c>
      <c r="M101" s="45">
        <v>91</v>
      </c>
    </row>
    <row r="102" spans="2:13" s="22" customFormat="1" x14ac:dyDescent="0.3">
      <c r="B102" s="42">
        <f t="shared" si="1"/>
        <v>39905</v>
      </c>
      <c r="D102" s="103">
        <v>20.641999999999999</v>
      </c>
      <c r="E102" s="103">
        <v>40</v>
      </c>
      <c r="F102" s="103">
        <v>24.5</v>
      </c>
      <c r="G102" s="103">
        <v>0</v>
      </c>
      <c r="H102" s="119">
        <v>129.6</v>
      </c>
      <c r="I102" s="119">
        <v>7</v>
      </c>
      <c r="L102" s="45">
        <v>2009</v>
      </c>
      <c r="M102" s="45">
        <v>92</v>
      </c>
    </row>
    <row r="103" spans="2:13" s="22" customFormat="1" x14ac:dyDescent="0.3">
      <c r="B103" s="42">
        <f t="shared" si="1"/>
        <v>39906</v>
      </c>
      <c r="D103" s="103">
        <v>19.9907</v>
      </c>
      <c r="E103" s="103">
        <v>40</v>
      </c>
      <c r="F103" s="103">
        <v>19.75</v>
      </c>
      <c r="G103" s="103">
        <v>0</v>
      </c>
      <c r="H103" s="119">
        <v>138.24</v>
      </c>
      <c r="I103" s="119">
        <v>7</v>
      </c>
      <c r="L103" s="45">
        <v>2009</v>
      </c>
      <c r="M103" s="45">
        <v>93</v>
      </c>
    </row>
    <row r="104" spans="2:13" s="22" customFormat="1" x14ac:dyDescent="0.3">
      <c r="B104" s="42">
        <f t="shared" si="1"/>
        <v>39907</v>
      </c>
      <c r="D104" s="103">
        <v>21.0581</v>
      </c>
      <c r="E104" s="103">
        <v>40</v>
      </c>
      <c r="F104" s="103">
        <v>19</v>
      </c>
      <c r="G104" s="103">
        <v>0</v>
      </c>
      <c r="H104" s="119">
        <v>267.83999999999997</v>
      </c>
      <c r="I104" s="119">
        <v>4</v>
      </c>
      <c r="L104" s="45">
        <v>2009</v>
      </c>
      <c r="M104" s="45">
        <v>94</v>
      </c>
    </row>
    <row r="105" spans="2:13" s="22" customFormat="1" x14ac:dyDescent="0.3">
      <c r="B105" s="42">
        <f t="shared" si="1"/>
        <v>39908</v>
      </c>
      <c r="D105" s="103">
        <v>21.335100000000001</v>
      </c>
      <c r="E105" s="103">
        <v>40.25</v>
      </c>
      <c r="F105" s="103">
        <v>19.5</v>
      </c>
      <c r="G105" s="103">
        <v>0</v>
      </c>
      <c r="H105" s="119">
        <v>138.24</v>
      </c>
      <c r="I105" s="119">
        <v>6</v>
      </c>
      <c r="L105" s="45">
        <v>2009</v>
      </c>
      <c r="M105" s="45">
        <v>95</v>
      </c>
    </row>
    <row r="106" spans="2:13" s="22" customFormat="1" x14ac:dyDescent="0.3">
      <c r="B106" s="42">
        <f t="shared" si="1"/>
        <v>39909</v>
      </c>
      <c r="D106" s="103">
        <v>20.9527</v>
      </c>
      <c r="E106" s="103">
        <v>40</v>
      </c>
      <c r="F106" s="103">
        <v>16.75</v>
      </c>
      <c r="G106" s="103">
        <v>0</v>
      </c>
      <c r="H106" s="119">
        <v>276.48</v>
      </c>
      <c r="I106" s="119">
        <v>5</v>
      </c>
      <c r="L106" s="45">
        <v>2009</v>
      </c>
      <c r="M106" s="45">
        <v>96</v>
      </c>
    </row>
    <row r="107" spans="2:13" s="22" customFormat="1" x14ac:dyDescent="0.3">
      <c r="B107" s="42">
        <f t="shared" ref="B107:B170" si="2">DATE(L107-1,12,31)+M107</f>
        <v>39910</v>
      </c>
      <c r="D107" s="103">
        <v>19.512499999999999</v>
      </c>
      <c r="E107" s="103">
        <v>39.75</v>
      </c>
      <c r="F107" s="103">
        <v>17.5</v>
      </c>
      <c r="G107" s="103">
        <v>0</v>
      </c>
      <c r="H107" s="119">
        <v>216</v>
      </c>
      <c r="I107" s="119">
        <v>3</v>
      </c>
      <c r="L107" s="45">
        <v>2009</v>
      </c>
      <c r="M107" s="45">
        <v>97</v>
      </c>
    </row>
    <row r="108" spans="2:13" s="22" customFormat="1" x14ac:dyDescent="0.3">
      <c r="B108" s="42">
        <f t="shared" si="2"/>
        <v>39911</v>
      </c>
      <c r="D108" s="103">
        <v>20.191500000000001</v>
      </c>
      <c r="E108" s="103">
        <v>39.75</v>
      </c>
      <c r="F108" s="103">
        <v>18.5</v>
      </c>
      <c r="G108" s="103">
        <v>0</v>
      </c>
      <c r="H108" s="119">
        <v>129.6</v>
      </c>
      <c r="I108" s="119">
        <v>4</v>
      </c>
      <c r="L108" s="45">
        <v>2009</v>
      </c>
      <c r="M108" s="45">
        <v>98</v>
      </c>
    </row>
    <row r="109" spans="2:13" s="22" customFormat="1" x14ac:dyDescent="0.3">
      <c r="B109" s="42">
        <f t="shared" si="2"/>
        <v>39912</v>
      </c>
      <c r="D109" s="103">
        <v>20.342700000000001</v>
      </c>
      <c r="E109" s="103">
        <v>40.25</v>
      </c>
      <c r="F109" s="103">
        <v>19.5</v>
      </c>
      <c r="G109" s="103">
        <v>0</v>
      </c>
      <c r="H109" s="119">
        <v>138.24</v>
      </c>
      <c r="I109" s="119">
        <v>8</v>
      </c>
      <c r="L109" s="45">
        <v>2009</v>
      </c>
      <c r="M109" s="45">
        <v>99</v>
      </c>
    </row>
    <row r="110" spans="2:13" s="22" customFormat="1" x14ac:dyDescent="0.3">
      <c r="B110" s="42">
        <f t="shared" si="2"/>
        <v>39913</v>
      </c>
      <c r="D110" s="103">
        <v>20.898700000000002</v>
      </c>
      <c r="E110" s="103">
        <v>40.25</v>
      </c>
      <c r="F110" s="103">
        <v>21</v>
      </c>
      <c r="G110" s="103">
        <v>0</v>
      </c>
      <c r="H110" s="119">
        <v>302.39999999999998</v>
      </c>
      <c r="I110" s="119">
        <v>23</v>
      </c>
      <c r="L110" s="45">
        <v>2009</v>
      </c>
      <c r="M110" s="45">
        <v>100</v>
      </c>
    </row>
    <row r="111" spans="2:13" s="22" customFormat="1" x14ac:dyDescent="0.3">
      <c r="B111" s="42">
        <f t="shared" si="2"/>
        <v>39914</v>
      </c>
      <c r="D111" s="103">
        <v>21.0381</v>
      </c>
      <c r="E111" s="103">
        <v>40.5</v>
      </c>
      <c r="F111" s="103">
        <v>21.5</v>
      </c>
      <c r="G111" s="103">
        <v>0</v>
      </c>
      <c r="H111" s="119">
        <v>129.6</v>
      </c>
      <c r="I111" s="119">
        <v>10</v>
      </c>
      <c r="L111" s="45">
        <v>2009</v>
      </c>
      <c r="M111" s="45">
        <v>101</v>
      </c>
    </row>
    <row r="112" spans="2:13" s="22" customFormat="1" x14ac:dyDescent="0.3">
      <c r="B112" s="42">
        <f t="shared" si="2"/>
        <v>39915</v>
      </c>
      <c r="D112" s="103">
        <v>20.386900000000001</v>
      </c>
      <c r="E112" s="103">
        <v>40</v>
      </c>
      <c r="F112" s="103">
        <v>20.55</v>
      </c>
      <c r="G112" s="103">
        <v>0</v>
      </c>
      <c r="H112" s="119">
        <v>60.48</v>
      </c>
      <c r="I112" s="119">
        <v>9</v>
      </c>
      <c r="L112" s="45">
        <v>2009</v>
      </c>
      <c r="M112" s="45">
        <v>102</v>
      </c>
    </row>
    <row r="113" spans="2:13" s="22" customFormat="1" x14ac:dyDescent="0.3">
      <c r="B113" s="42">
        <f t="shared" si="2"/>
        <v>39916</v>
      </c>
      <c r="D113" s="103">
        <v>20.2653</v>
      </c>
      <c r="E113" s="103">
        <v>40</v>
      </c>
      <c r="F113" s="103">
        <v>23.5</v>
      </c>
      <c r="G113" s="103">
        <v>0</v>
      </c>
      <c r="H113" s="119">
        <v>95.04</v>
      </c>
      <c r="I113" s="119">
        <v>9</v>
      </c>
      <c r="L113" s="45">
        <v>2009</v>
      </c>
      <c r="M113" s="45">
        <v>103</v>
      </c>
    </row>
    <row r="114" spans="2:13" s="22" customFormat="1" x14ac:dyDescent="0.3">
      <c r="B114" s="42">
        <f t="shared" si="2"/>
        <v>39917</v>
      </c>
      <c r="D114" s="103">
        <v>15.386100000000001</v>
      </c>
      <c r="E114" s="103">
        <v>39.5</v>
      </c>
      <c r="F114" s="103">
        <v>25.5</v>
      </c>
      <c r="G114" s="103">
        <v>0</v>
      </c>
      <c r="H114" s="119">
        <v>276.48</v>
      </c>
      <c r="I114" s="119">
        <v>16</v>
      </c>
      <c r="L114" s="45">
        <v>2009</v>
      </c>
      <c r="M114" s="45">
        <v>104</v>
      </c>
    </row>
    <row r="115" spans="2:13" s="22" customFormat="1" x14ac:dyDescent="0.3">
      <c r="B115" s="42">
        <f t="shared" si="2"/>
        <v>39918</v>
      </c>
      <c r="D115" s="103">
        <v>19.7622</v>
      </c>
      <c r="E115" s="103">
        <v>39.75</v>
      </c>
      <c r="F115" s="103">
        <v>28.25</v>
      </c>
      <c r="G115" s="103">
        <v>43</v>
      </c>
      <c r="H115" s="119">
        <v>198.72</v>
      </c>
      <c r="I115" s="119">
        <v>18</v>
      </c>
      <c r="L115" s="45">
        <v>2009</v>
      </c>
      <c r="M115" s="45">
        <v>105</v>
      </c>
    </row>
    <row r="116" spans="2:13" s="22" customFormat="1" x14ac:dyDescent="0.3">
      <c r="B116" s="42">
        <f t="shared" si="2"/>
        <v>39919</v>
      </c>
      <c r="D116" s="103">
        <v>7.46638</v>
      </c>
      <c r="E116" s="103">
        <v>32.5</v>
      </c>
      <c r="F116" s="103">
        <v>21.5</v>
      </c>
      <c r="G116" s="103">
        <v>3.5</v>
      </c>
      <c r="H116" s="119">
        <v>155.52000000000001</v>
      </c>
      <c r="I116" s="119">
        <v>32</v>
      </c>
      <c r="L116" s="45">
        <v>2009</v>
      </c>
      <c r="M116" s="45">
        <v>106</v>
      </c>
    </row>
    <row r="117" spans="2:13" s="22" customFormat="1" x14ac:dyDescent="0.3">
      <c r="B117" s="42">
        <f t="shared" si="2"/>
        <v>39920</v>
      </c>
      <c r="D117" s="103">
        <v>19.794</v>
      </c>
      <c r="E117" s="103">
        <v>34.700000000000003</v>
      </c>
      <c r="F117" s="103">
        <v>24.95</v>
      </c>
      <c r="G117" s="103">
        <v>0</v>
      </c>
      <c r="H117" s="119">
        <v>129.6</v>
      </c>
      <c r="I117" s="119">
        <v>21</v>
      </c>
      <c r="L117" s="45">
        <v>2009</v>
      </c>
      <c r="M117" s="45">
        <v>107</v>
      </c>
    </row>
    <row r="118" spans="2:13" s="22" customFormat="1" x14ac:dyDescent="0.3">
      <c r="B118" s="42">
        <f t="shared" si="2"/>
        <v>39921</v>
      </c>
      <c r="D118" s="103">
        <v>21.536000000000001</v>
      </c>
      <c r="E118" s="103">
        <v>37.75</v>
      </c>
      <c r="F118" s="103">
        <v>21.75</v>
      </c>
      <c r="G118" s="103">
        <v>0</v>
      </c>
      <c r="H118" s="119">
        <v>241.92</v>
      </c>
      <c r="I118" s="119">
        <v>6</v>
      </c>
      <c r="L118" s="45">
        <v>2009</v>
      </c>
      <c r="M118" s="45">
        <v>108</v>
      </c>
    </row>
    <row r="119" spans="2:13" s="22" customFormat="1" x14ac:dyDescent="0.3">
      <c r="B119" s="42">
        <f t="shared" si="2"/>
        <v>39922</v>
      </c>
      <c r="D119" s="103">
        <v>21.558599999999998</v>
      </c>
      <c r="E119" s="103">
        <v>39</v>
      </c>
      <c r="F119" s="103">
        <v>20</v>
      </c>
      <c r="G119" s="103">
        <v>0</v>
      </c>
      <c r="H119" s="119">
        <v>60.48</v>
      </c>
      <c r="I119" s="119">
        <v>12</v>
      </c>
      <c r="L119" s="45">
        <v>2009</v>
      </c>
      <c r="M119" s="45">
        <v>109</v>
      </c>
    </row>
    <row r="120" spans="2:13" s="22" customFormat="1" x14ac:dyDescent="0.3">
      <c r="B120" s="42">
        <f t="shared" si="2"/>
        <v>39923</v>
      </c>
      <c r="D120" s="103">
        <v>21.9621</v>
      </c>
      <c r="E120" s="103">
        <v>40.75</v>
      </c>
      <c r="F120" s="103">
        <v>20.75</v>
      </c>
      <c r="G120" s="103">
        <v>0</v>
      </c>
      <c r="H120" s="119">
        <v>95.04</v>
      </c>
      <c r="I120" s="119">
        <v>7</v>
      </c>
      <c r="L120" s="45">
        <v>2009</v>
      </c>
      <c r="M120" s="45">
        <v>110</v>
      </c>
    </row>
    <row r="121" spans="2:13" s="22" customFormat="1" x14ac:dyDescent="0.3">
      <c r="B121" s="42">
        <f t="shared" si="2"/>
        <v>39924</v>
      </c>
      <c r="D121" s="103">
        <v>13.7837</v>
      </c>
      <c r="E121" s="103">
        <v>38.75</v>
      </c>
      <c r="F121" s="103">
        <v>25.5</v>
      </c>
      <c r="G121" s="103">
        <v>0</v>
      </c>
      <c r="H121" s="119">
        <v>172.8</v>
      </c>
      <c r="I121" s="119">
        <v>17</v>
      </c>
      <c r="L121" s="45">
        <v>2009</v>
      </c>
      <c r="M121" s="45">
        <v>111</v>
      </c>
    </row>
    <row r="122" spans="2:13" s="22" customFormat="1" x14ac:dyDescent="0.3">
      <c r="B122" s="42">
        <f t="shared" si="2"/>
        <v>39925</v>
      </c>
      <c r="D122" s="103">
        <v>16.301500000000001</v>
      </c>
      <c r="E122" s="103">
        <v>36.5</v>
      </c>
      <c r="F122" s="103">
        <v>26</v>
      </c>
      <c r="G122" s="103">
        <v>0</v>
      </c>
      <c r="H122" s="119">
        <v>77.760000000000005</v>
      </c>
      <c r="I122" s="119">
        <v>12</v>
      </c>
      <c r="L122" s="45">
        <v>2009</v>
      </c>
      <c r="M122" s="45">
        <v>112</v>
      </c>
    </row>
    <row r="123" spans="2:13" s="22" customFormat="1" x14ac:dyDescent="0.3">
      <c r="B123" s="42">
        <f t="shared" si="2"/>
        <v>39926</v>
      </c>
      <c r="D123" s="103">
        <v>20.409700000000001</v>
      </c>
      <c r="E123" s="103">
        <v>38.700000000000003</v>
      </c>
      <c r="F123" s="103">
        <v>21.5</v>
      </c>
      <c r="G123" s="103">
        <v>0</v>
      </c>
      <c r="H123" s="119">
        <v>406.08</v>
      </c>
      <c r="I123" s="119">
        <v>4</v>
      </c>
      <c r="L123" s="45">
        <v>2009</v>
      </c>
      <c r="M123" s="45">
        <v>113</v>
      </c>
    </row>
    <row r="124" spans="2:13" s="22" customFormat="1" x14ac:dyDescent="0.3">
      <c r="B124" s="42">
        <f t="shared" si="2"/>
        <v>39927</v>
      </c>
      <c r="D124" s="103">
        <v>18.174800000000001</v>
      </c>
      <c r="E124" s="103">
        <v>40</v>
      </c>
      <c r="F124" s="103">
        <v>24.5</v>
      </c>
      <c r="G124" s="103">
        <v>0</v>
      </c>
      <c r="H124" s="119">
        <v>397.44</v>
      </c>
      <c r="I124" s="119">
        <v>4</v>
      </c>
      <c r="L124" s="45">
        <v>2009</v>
      </c>
      <c r="M124" s="45">
        <v>114</v>
      </c>
    </row>
    <row r="125" spans="2:13" s="22" customFormat="1" x14ac:dyDescent="0.3">
      <c r="B125" s="42">
        <f t="shared" si="2"/>
        <v>39928</v>
      </c>
      <c r="D125" s="103">
        <v>11.4376</v>
      </c>
      <c r="E125" s="103">
        <v>38.5</v>
      </c>
      <c r="F125" s="103">
        <v>20</v>
      </c>
      <c r="G125" s="103">
        <v>0</v>
      </c>
      <c r="H125" s="119">
        <v>198.72</v>
      </c>
      <c r="I125" s="119">
        <v>2</v>
      </c>
      <c r="L125" s="45">
        <v>2009</v>
      </c>
      <c r="M125" s="45">
        <v>115</v>
      </c>
    </row>
    <row r="126" spans="2:13" s="22" customFormat="1" x14ac:dyDescent="0.3">
      <c r="B126" s="42">
        <f t="shared" si="2"/>
        <v>39929</v>
      </c>
      <c r="D126" s="103">
        <v>16.084599999999998</v>
      </c>
      <c r="E126" s="103">
        <v>39</v>
      </c>
      <c r="F126" s="103">
        <v>19.5</v>
      </c>
      <c r="G126" s="103">
        <v>0</v>
      </c>
      <c r="H126" s="119">
        <v>103.68</v>
      </c>
      <c r="I126" s="119">
        <v>2</v>
      </c>
      <c r="L126" s="45">
        <v>2009</v>
      </c>
      <c r="M126" s="45">
        <v>116</v>
      </c>
    </row>
    <row r="127" spans="2:13" s="22" customFormat="1" x14ac:dyDescent="0.3">
      <c r="B127" s="42">
        <f t="shared" si="2"/>
        <v>39930</v>
      </c>
      <c r="D127" s="103">
        <v>18.7516</v>
      </c>
      <c r="E127" s="103">
        <v>40.5</v>
      </c>
      <c r="F127" s="103">
        <v>20.75</v>
      </c>
      <c r="G127" s="103">
        <v>0</v>
      </c>
      <c r="H127" s="119">
        <v>259.2</v>
      </c>
      <c r="I127" s="119">
        <v>16</v>
      </c>
      <c r="L127" s="45">
        <v>2009</v>
      </c>
      <c r="M127" s="45">
        <v>117</v>
      </c>
    </row>
    <row r="128" spans="2:13" s="22" customFormat="1" x14ac:dyDescent="0.3">
      <c r="B128" s="42">
        <f t="shared" si="2"/>
        <v>39931</v>
      </c>
      <c r="D128" s="103">
        <v>16.015999999999998</v>
      </c>
      <c r="E128" s="103">
        <v>40.5</v>
      </c>
      <c r="F128" s="103">
        <v>27.5</v>
      </c>
      <c r="G128" s="103">
        <v>0</v>
      </c>
      <c r="H128" s="119">
        <v>164.16</v>
      </c>
      <c r="I128" s="119">
        <v>15</v>
      </c>
      <c r="L128" s="45">
        <v>2009</v>
      </c>
      <c r="M128" s="45">
        <v>118</v>
      </c>
    </row>
    <row r="129" spans="2:13" s="22" customFormat="1" x14ac:dyDescent="0.3">
      <c r="B129" s="42">
        <f t="shared" si="2"/>
        <v>39932</v>
      </c>
      <c r="D129" s="103">
        <v>17.0778</v>
      </c>
      <c r="E129" s="103">
        <v>40.5</v>
      </c>
      <c r="F129" s="103">
        <v>27.5</v>
      </c>
      <c r="G129" s="103">
        <v>0</v>
      </c>
      <c r="H129" s="119">
        <v>69.12</v>
      </c>
      <c r="I129" s="119">
        <v>18</v>
      </c>
      <c r="L129" s="45">
        <v>2009</v>
      </c>
      <c r="M129" s="45">
        <v>119</v>
      </c>
    </row>
    <row r="130" spans="2:13" s="22" customFormat="1" x14ac:dyDescent="0.3">
      <c r="B130" s="42">
        <f t="shared" si="2"/>
        <v>39933</v>
      </c>
      <c r="D130" s="103">
        <v>17.0853</v>
      </c>
      <c r="E130" s="103">
        <v>39</v>
      </c>
      <c r="F130" s="103">
        <v>25.5</v>
      </c>
      <c r="G130" s="103">
        <v>0</v>
      </c>
      <c r="H130" s="119">
        <v>164.16</v>
      </c>
      <c r="I130" s="119">
        <v>32</v>
      </c>
      <c r="L130" s="45">
        <v>2009</v>
      </c>
      <c r="M130" s="45">
        <v>120</v>
      </c>
    </row>
    <row r="131" spans="2:13" s="22" customFormat="1" x14ac:dyDescent="0.3">
      <c r="B131" s="42">
        <f t="shared" si="2"/>
        <v>39934</v>
      </c>
      <c r="D131" s="103">
        <v>20.793800000000001</v>
      </c>
      <c r="E131" s="103">
        <v>38.5</v>
      </c>
      <c r="F131" s="103">
        <v>25</v>
      </c>
      <c r="G131" s="103">
        <v>0</v>
      </c>
      <c r="H131" s="119">
        <v>129.6</v>
      </c>
      <c r="I131" s="119">
        <v>6</v>
      </c>
      <c r="L131" s="45">
        <v>2009</v>
      </c>
      <c r="M131" s="45">
        <v>121</v>
      </c>
    </row>
    <row r="132" spans="2:13" s="22" customFormat="1" x14ac:dyDescent="0.3">
      <c r="B132" s="42">
        <f t="shared" si="2"/>
        <v>39935</v>
      </c>
      <c r="D132" s="103">
        <v>21.863900000000001</v>
      </c>
      <c r="E132" s="103">
        <v>42</v>
      </c>
      <c r="F132" s="103">
        <v>20</v>
      </c>
      <c r="G132" s="103">
        <v>0</v>
      </c>
      <c r="H132" s="119">
        <v>164.16</v>
      </c>
      <c r="I132" s="119">
        <v>3</v>
      </c>
      <c r="L132" s="45">
        <v>2009</v>
      </c>
      <c r="M132" s="45">
        <v>122</v>
      </c>
    </row>
    <row r="133" spans="2:13" s="22" customFormat="1" x14ac:dyDescent="0.3">
      <c r="B133" s="42">
        <f t="shared" si="2"/>
        <v>39936</v>
      </c>
      <c r="D133" s="103">
        <v>22.010999999999999</v>
      </c>
      <c r="E133" s="103">
        <v>42.25</v>
      </c>
      <c r="F133" s="103">
        <v>20.5</v>
      </c>
      <c r="G133" s="103">
        <v>0</v>
      </c>
      <c r="H133" s="119">
        <v>198.72</v>
      </c>
      <c r="I133" s="119">
        <v>20</v>
      </c>
      <c r="L133" s="45">
        <v>2009</v>
      </c>
      <c r="M133" s="45">
        <v>123</v>
      </c>
    </row>
    <row r="134" spans="2:13" s="22" customFormat="1" x14ac:dyDescent="0.3">
      <c r="B134" s="42">
        <f t="shared" si="2"/>
        <v>39937</v>
      </c>
      <c r="D134" s="103">
        <v>20.968699999999998</v>
      </c>
      <c r="E134" s="103">
        <v>41</v>
      </c>
      <c r="F134" s="103">
        <v>26</v>
      </c>
      <c r="G134" s="103">
        <v>0</v>
      </c>
      <c r="H134" s="119">
        <v>120.96</v>
      </c>
      <c r="I134" s="119">
        <v>19</v>
      </c>
      <c r="L134" s="45">
        <v>2009</v>
      </c>
      <c r="M134" s="45">
        <v>124</v>
      </c>
    </row>
    <row r="135" spans="2:13" s="22" customFormat="1" x14ac:dyDescent="0.3">
      <c r="B135" s="42">
        <f t="shared" si="2"/>
        <v>39938</v>
      </c>
      <c r="D135" s="103">
        <v>20.8538</v>
      </c>
      <c r="E135" s="103">
        <v>40</v>
      </c>
      <c r="F135" s="103">
        <v>26.8</v>
      </c>
      <c r="G135" s="103">
        <v>0</v>
      </c>
      <c r="H135" s="119">
        <v>285.12</v>
      </c>
      <c r="I135" s="119">
        <v>34</v>
      </c>
      <c r="L135" s="45">
        <v>2009</v>
      </c>
      <c r="M135" s="45">
        <v>125</v>
      </c>
    </row>
    <row r="136" spans="2:13" s="22" customFormat="1" x14ac:dyDescent="0.3">
      <c r="B136" s="42">
        <f t="shared" si="2"/>
        <v>39939</v>
      </c>
      <c r="D136" s="103">
        <v>17.425699999999999</v>
      </c>
      <c r="E136" s="103">
        <v>37.75</v>
      </c>
      <c r="F136" s="103">
        <v>22.3</v>
      </c>
      <c r="G136" s="103">
        <v>0</v>
      </c>
      <c r="H136" s="119">
        <v>241.92</v>
      </c>
      <c r="I136" s="119">
        <v>38</v>
      </c>
      <c r="L136" s="45">
        <v>2009</v>
      </c>
      <c r="M136" s="45">
        <v>126</v>
      </c>
    </row>
    <row r="137" spans="2:13" s="22" customFormat="1" x14ac:dyDescent="0.3">
      <c r="B137" s="42">
        <f t="shared" si="2"/>
        <v>39940</v>
      </c>
      <c r="D137" s="103">
        <v>21.558599999999998</v>
      </c>
      <c r="E137" s="103">
        <v>37.25</v>
      </c>
      <c r="F137" s="103">
        <v>27</v>
      </c>
      <c r="G137" s="103">
        <v>8</v>
      </c>
      <c r="H137" s="119">
        <v>259.2</v>
      </c>
      <c r="I137" s="119">
        <v>44</v>
      </c>
      <c r="L137" s="45">
        <v>2009</v>
      </c>
      <c r="M137" s="45">
        <v>127</v>
      </c>
    </row>
    <row r="138" spans="2:13" s="22" customFormat="1" x14ac:dyDescent="0.3">
      <c r="B138" s="42">
        <f t="shared" si="2"/>
        <v>39941</v>
      </c>
      <c r="D138" s="103">
        <v>15.889699999999999</v>
      </c>
      <c r="E138" s="103">
        <v>37</v>
      </c>
      <c r="F138" s="103">
        <v>23</v>
      </c>
      <c r="G138" s="103">
        <v>0</v>
      </c>
      <c r="H138" s="119">
        <v>190.08</v>
      </c>
      <c r="I138" s="119">
        <v>36</v>
      </c>
      <c r="L138" s="45">
        <v>2009</v>
      </c>
      <c r="M138" s="45">
        <v>128</v>
      </c>
    </row>
    <row r="139" spans="2:13" s="22" customFormat="1" x14ac:dyDescent="0.3">
      <c r="B139" s="42">
        <f t="shared" si="2"/>
        <v>39942</v>
      </c>
      <c r="D139" s="103">
        <v>22.367799999999999</v>
      </c>
      <c r="E139" s="103">
        <v>37</v>
      </c>
      <c r="F139" s="103">
        <v>24</v>
      </c>
      <c r="G139" s="103">
        <v>0</v>
      </c>
      <c r="H139" s="119">
        <v>172.8</v>
      </c>
      <c r="I139" s="119">
        <v>44</v>
      </c>
      <c r="L139" s="45">
        <v>2009</v>
      </c>
      <c r="M139" s="45">
        <v>129</v>
      </c>
    </row>
    <row r="140" spans="2:13" s="22" customFormat="1" x14ac:dyDescent="0.3">
      <c r="B140" s="42">
        <f t="shared" si="2"/>
        <v>39943</v>
      </c>
      <c r="D140" s="103">
        <v>9.2987800000000007</v>
      </c>
      <c r="E140" s="103">
        <v>36.5</v>
      </c>
      <c r="F140" s="103">
        <v>25.95</v>
      </c>
      <c r="G140" s="103">
        <v>0</v>
      </c>
      <c r="H140" s="119">
        <v>259.2</v>
      </c>
      <c r="I140" s="119">
        <v>41</v>
      </c>
      <c r="L140" s="45">
        <v>2009</v>
      </c>
      <c r="M140" s="45">
        <v>130</v>
      </c>
    </row>
    <row r="141" spans="2:13" s="22" customFormat="1" x14ac:dyDescent="0.3">
      <c r="B141" s="42">
        <f t="shared" si="2"/>
        <v>39944</v>
      </c>
      <c r="D141" s="103">
        <v>13.1387</v>
      </c>
      <c r="E141" s="103">
        <v>35.5</v>
      </c>
      <c r="F141" s="103">
        <v>24.75</v>
      </c>
      <c r="G141" s="103">
        <v>0</v>
      </c>
      <c r="H141" s="119">
        <v>190.08</v>
      </c>
      <c r="I141" s="119">
        <v>41</v>
      </c>
      <c r="L141" s="45">
        <v>2009</v>
      </c>
      <c r="M141" s="45">
        <v>131</v>
      </c>
    </row>
    <row r="142" spans="2:13" s="22" customFormat="1" x14ac:dyDescent="0.3">
      <c r="B142" s="42">
        <f t="shared" si="2"/>
        <v>39945</v>
      </c>
      <c r="D142" s="103">
        <v>20.9527</v>
      </c>
      <c r="E142" s="103">
        <v>37.5</v>
      </c>
      <c r="F142" s="103">
        <v>25</v>
      </c>
      <c r="G142" s="103">
        <v>4</v>
      </c>
      <c r="H142" s="119">
        <v>146.88</v>
      </c>
      <c r="I142" s="119">
        <v>44</v>
      </c>
      <c r="L142" s="45">
        <v>2009</v>
      </c>
      <c r="M142" s="45">
        <v>132</v>
      </c>
    </row>
    <row r="143" spans="2:13" s="22" customFormat="1" x14ac:dyDescent="0.3">
      <c r="B143" s="42">
        <f t="shared" si="2"/>
        <v>39946</v>
      </c>
      <c r="D143" s="103">
        <v>22.027699999999999</v>
      </c>
      <c r="E143" s="103">
        <v>36.700000000000003</v>
      </c>
      <c r="F143" s="103">
        <v>23.75</v>
      </c>
      <c r="G143" s="103">
        <v>0</v>
      </c>
      <c r="H143" s="119">
        <v>25.92</v>
      </c>
      <c r="I143" s="119">
        <v>31</v>
      </c>
      <c r="L143" s="45">
        <v>2009</v>
      </c>
      <c r="M143" s="45">
        <v>133</v>
      </c>
    </row>
    <row r="144" spans="2:13" s="22" customFormat="1" x14ac:dyDescent="0.3">
      <c r="B144" s="42">
        <f t="shared" si="2"/>
        <v>39947</v>
      </c>
      <c r="D144" s="103">
        <v>22.4436</v>
      </c>
      <c r="E144" s="103">
        <v>37</v>
      </c>
      <c r="F144" s="103">
        <v>23</v>
      </c>
      <c r="G144" s="103">
        <v>0</v>
      </c>
      <c r="H144" s="119">
        <v>86.4</v>
      </c>
      <c r="I144" s="119">
        <v>19</v>
      </c>
      <c r="L144" s="45">
        <v>2009</v>
      </c>
      <c r="M144" s="45">
        <v>134</v>
      </c>
    </row>
    <row r="145" spans="2:13" s="22" customFormat="1" x14ac:dyDescent="0.3">
      <c r="B145" s="42">
        <f t="shared" si="2"/>
        <v>39948</v>
      </c>
      <c r="D145" s="103">
        <v>21.668600000000001</v>
      </c>
      <c r="E145" s="103">
        <v>39.5</v>
      </c>
      <c r="F145" s="103">
        <v>24.5</v>
      </c>
      <c r="G145" s="103">
        <v>0</v>
      </c>
      <c r="H145" s="119">
        <v>129.6</v>
      </c>
      <c r="I145" s="119">
        <v>18</v>
      </c>
      <c r="L145" s="45">
        <v>2009</v>
      </c>
      <c r="M145" s="45">
        <v>135</v>
      </c>
    </row>
    <row r="146" spans="2:13" s="22" customFormat="1" x14ac:dyDescent="0.3">
      <c r="B146" s="42">
        <f t="shared" si="2"/>
        <v>39949</v>
      </c>
      <c r="D146" s="103">
        <v>18.6553</v>
      </c>
      <c r="E146" s="103">
        <v>40.25</v>
      </c>
      <c r="F146" s="103">
        <v>24.75</v>
      </c>
      <c r="G146" s="103">
        <v>0</v>
      </c>
      <c r="H146" s="119">
        <v>155.52000000000001</v>
      </c>
      <c r="I146" s="119">
        <v>28</v>
      </c>
      <c r="L146" s="45">
        <v>2009</v>
      </c>
      <c r="M146" s="45">
        <v>136</v>
      </c>
    </row>
    <row r="147" spans="2:13" s="22" customFormat="1" x14ac:dyDescent="0.3">
      <c r="B147" s="42">
        <f t="shared" si="2"/>
        <v>39950</v>
      </c>
      <c r="D147" s="103">
        <v>19.321899999999999</v>
      </c>
      <c r="E147" s="103">
        <v>39.5</v>
      </c>
      <c r="F147" s="103">
        <v>25.25</v>
      </c>
      <c r="G147" s="103">
        <v>10</v>
      </c>
      <c r="H147" s="119">
        <v>172.8</v>
      </c>
      <c r="I147" s="119">
        <v>21</v>
      </c>
      <c r="L147" s="45">
        <v>2009</v>
      </c>
      <c r="M147" s="45">
        <v>137</v>
      </c>
    </row>
    <row r="148" spans="2:13" s="22" customFormat="1" x14ac:dyDescent="0.3">
      <c r="B148" s="42">
        <f t="shared" si="2"/>
        <v>39951</v>
      </c>
      <c r="D148" s="103">
        <v>17.7456</v>
      </c>
      <c r="E148" s="103">
        <v>39</v>
      </c>
      <c r="F148" s="103">
        <v>22</v>
      </c>
      <c r="G148" s="103">
        <v>0</v>
      </c>
      <c r="H148" s="119">
        <v>146.88</v>
      </c>
      <c r="I148" s="119">
        <v>19</v>
      </c>
      <c r="L148" s="45">
        <v>2009</v>
      </c>
      <c r="M148" s="45">
        <v>138</v>
      </c>
    </row>
    <row r="149" spans="2:13" s="22" customFormat="1" x14ac:dyDescent="0.3">
      <c r="B149" s="42">
        <f t="shared" si="2"/>
        <v>39952</v>
      </c>
      <c r="D149" s="103">
        <v>18.547599999999999</v>
      </c>
      <c r="E149" s="103">
        <v>39.5</v>
      </c>
      <c r="F149" s="103">
        <v>25.25</v>
      </c>
      <c r="G149" s="103">
        <v>0</v>
      </c>
      <c r="H149" s="119">
        <v>224.64</v>
      </c>
      <c r="I149" s="119">
        <v>23</v>
      </c>
      <c r="L149" s="45">
        <v>2009</v>
      </c>
      <c r="M149" s="45">
        <v>139</v>
      </c>
    </row>
    <row r="150" spans="2:13" s="22" customFormat="1" x14ac:dyDescent="0.3">
      <c r="B150" s="42">
        <f t="shared" si="2"/>
        <v>39953</v>
      </c>
      <c r="D150" s="103">
        <v>16.4437</v>
      </c>
      <c r="E150" s="103">
        <v>40</v>
      </c>
      <c r="F150" s="103">
        <v>27.7</v>
      </c>
      <c r="G150" s="103">
        <v>0</v>
      </c>
      <c r="H150" s="119">
        <v>198.72</v>
      </c>
      <c r="I150" s="119">
        <v>24</v>
      </c>
      <c r="L150" s="45">
        <v>2009</v>
      </c>
      <c r="M150" s="45">
        <v>140</v>
      </c>
    </row>
    <row r="151" spans="2:13" s="22" customFormat="1" x14ac:dyDescent="0.3">
      <c r="B151" s="42">
        <f t="shared" si="2"/>
        <v>39954</v>
      </c>
      <c r="D151" s="103">
        <v>17.645600000000002</v>
      </c>
      <c r="E151" s="103">
        <v>40.75</v>
      </c>
      <c r="F151" s="103">
        <v>27.25</v>
      </c>
      <c r="G151" s="103">
        <v>0</v>
      </c>
      <c r="H151" s="119">
        <v>233.28</v>
      </c>
      <c r="I151" s="119">
        <v>27</v>
      </c>
      <c r="L151" s="45">
        <v>2009</v>
      </c>
      <c r="M151" s="45">
        <v>141</v>
      </c>
    </row>
    <row r="152" spans="2:13" s="22" customFormat="1" x14ac:dyDescent="0.3">
      <c r="B152" s="42">
        <f t="shared" si="2"/>
        <v>39955</v>
      </c>
      <c r="D152" s="103">
        <v>19.115400000000001</v>
      </c>
      <c r="E152" s="103">
        <v>40.5</v>
      </c>
      <c r="F152" s="103">
        <v>27.25</v>
      </c>
      <c r="G152" s="103">
        <v>0</v>
      </c>
      <c r="H152" s="119">
        <v>267.83999999999997</v>
      </c>
      <c r="I152" s="119">
        <v>39</v>
      </c>
      <c r="L152" s="45">
        <v>2009</v>
      </c>
      <c r="M152" s="45">
        <v>142</v>
      </c>
    </row>
    <row r="153" spans="2:13" s="22" customFormat="1" x14ac:dyDescent="0.3">
      <c r="B153" s="42">
        <f t="shared" si="2"/>
        <v>39956</v>
      </c>
      <c r="D153" s="103">
        <v>18.866700000000002</v>
      </c>
      <c r="E153" s="103">
        <v>39.5</v>
      </c>
      <c r="F153" s="103">
        <v>27</v>
      </c>
      <c r="G153" s="103">
        <v>0</v>
      </c>
      <c r="H153" s="119">
        <v>241.92</v>
      </c>
      <c r="I153" s="119">
        <v>26</v>
      </c>
      <c r="L153" s="45">
        <v>2009</v>
      </c>
      <c r="M153" s="45">
        <v>143</v>
      </c>
    </row>
    <row r="154" spans="2:13" s="22" customFormat="1" x14ac:dyDescent="0.3">
      <c r="B154" s="42">
        <f t="shared" si="2"/>
        <v>39957</v>
      </c>
      <c r="D154" s="103">
        <v>19.5472</v>
      </c>
      <c r="E154" s="103">
        <v>36.75</v>
      </c>
      <c r="F154" s="103">
        <v>23.5</v>
      </c>
      <c r="G154" s="103">
        <v>4.5</v>
      </c>
      <c r="H154" s="119">
        <v>172.8</v>
      </c>
      <c r="I154" s="119">
        <v>33</v>
      </c>
      <c r="L154" s="45">
        <v>2009</v>
      </c>
      <c r="M154" s="45">
        <v>144</v>
      </c>
    </row>
    <row r="155" spans="2:13" s="22" customFormat="1" x14ac:dyDescent="0.3">
      <c r="B155" s="42">
        <f t="shared" si="2"/>
        <v>39958</v>
      </c>
      <c r="D155" s="103">
        <v>22.218399999999999</v>
      </c>
      <c r="E155" s="103">
        <v>37</v>
      </c>
      <c r="F155" s="103">
        <v>22.5</v>
      </c>
      <c r="G155" s="103">
        <v>0</v>
      </c>
      <c r="H155" s="119">
        <v>86.4</v>
      </c>
      <c r="I155" s="119">
        <v>17</v>
      </c>
      <c r="L155" s="45">
        <v>2009</v>
      </c>
      <c r="M155" s="45">
        <v>145</v>
      </c>
    </row>
    <row r="156" spans="2:13" s="22" customFormat="1" x14ac:dyDescent="0.3">
      <c r="B156" s="42">
        <f t="shared" si="2"/>
        <v>39959</v>
      </c>
      <c r="D156" s="103">
        <v>20.641999999999999</v>
      </c>
      <c r="E156" s="103">
        <v>40</v>
      </c>
      <c r="F156" s="103">
        <v>26.25</v>
      </c>
      <c r="G156" s="103">
        <v>0</v>
      </c>
      <c r="H156" s="119">
        <v>138.24</v>
      </c>
      <c r="I156" s="119">
        <v>27</v>
      </c>
      <c r="L156" s="45">
        <v>2009</v>
      </c>
      <c r="M156" s="45">
        <v>146</v>
      </c>
    </row>
    <row r="157" spans="2:13" s="22" customFormat="1" x14ac:dyDescent="0.3">
      <c r="B157" s="42">
        <f t="shared" si="2"/>
        <v>39960</v>
      </c>
      <c r="D157" s="103">
        <v>20.915099999999999</v>
      </c>
      <c r="E157" s="103">
        <v>40</v>
      </c>
      <c r="F157" s="103">
        <v>28</v>
      </c>
      <c r="G157" s="103">
        <v>0</v>
      </c>
      <c r="H157" s="119">
        <v>241.92</v>
      </c>
      <c r="I157" s="119">
        <v>36</v>
      </c>
      <c r="L157" s="45">
        <v>2009</v>
      </c>
      <c r="M157" s="45">
        <v>147</v>
      </c>
    </row>
    <row r="158" spans="2:13" s="22" customFormat="1" x14ac:dyDescent="0.3">
      <c r="B158" s="42">
        <f t="shared" si="2"/>
        <v>39961</v>
      </c>
      <c r="D158" s="103">
        <v>8.1096400000000006</v>
      </c>
      <c r="E158" s="103">
        <v>37</v>
      </c>
      <c r="F158" s="103">
        <v>21.3</v>
      </c>
      <c r="G158" s="103">
        <v>4</v>
      </c>
      <c r="H158" s="119">
        <v>250.56</v>
      </c>
      <c r="I158" s="119">
        <v>26</v>
      </c>
      <c r="L158" s="45">
        <v>2009</v>
      </c>
      <c r="M158" s="45">
        <v>148</v>
      </c>
    </row>
    <row r="159" spans="2:13" s="22" customFormat="1" x14ac:dyDescent="0.3">
      <c r="B159" s="42">
        <f t="shared" si="2"/>
        <v>39962</v>
      </c>
      <c r="D159" s="103">
        <v>23.450299999999999</v>
      </c>
      <c r="E159" s="103">
        <v>36</v>
      </c>
      <c r="F159" s="103">
        <v>22.5</v>
      </c>
      <c r="G159" s="103">
        <v>0</v>
      </c>
      <c r="H159" s="119">
        <v>198.72</v>
      </c>
      <c r="I159" s="119">
        <v>28</v>
      </c>
      <c r="L159" s="45">
        <v>2009</v>
      </c>
      <c r="M159" s="45">
        <v>149</v>
      </c>
    </row>
    <row r="160" spans="2:13" s="22" customFormat="1" x14ac:dyDescent="0.3">
      <c r="B160" s="42">
        <f t="shared" si="2"/>
        <v>39963</v>
      </c>
      <c r="D160" s="103">
        <v>22.1433</v>
      </c>
      <c r="E160" s="103">
        <v>39</v>
      </c>
      <c r="F160" s="103">
        <v>23.5</v>
      </c>
      <c r="G160" s="103">
        <v>0</v>
      </c>
      <c r="H160" s="119">
        <v>259.2</v>
      </c>
      <c r="I160" s="119">
        <v>26</v>
      </c>
      <c r="L160" s="45">
        <v>2009</v>
      </c>
      <c r="M160" s="45">
        <v>150</v>
      </c>
    </row>
    <row r="161" spans="2:13" s="22" customFormat="1" x14ac:dyDescent="0.3">
      <c r="B161" s="42">
        <f t="shared" si="2"/>
        <v>39964</v>
      </c>
      <c r="D161" s="103">
        <v>19.512499999999999</v>
      </c>
      <c r="E161" s="103">
        <v>40</v>
      </c>
      <c r="F161" s="103">
        <v>27.75</v>
      </c>
      <c r="G161" s="103">
        <v>0</v>
      </c>
      <c r="H161" s="119">
        <v>224.64</v>
      </c>
      <c r="I161" s="119">
        <v>32</v>
      </c>
      <c r="L161" s="45">
        <v>2009</v>
      </c>
      <c r="M161" s="45">
        <v>151</v>
      </c>
    </row>
    <row r="162" spans="2:13" s="22" customFormat="1" x14ac:dyDescent="0.3">
      <c r="B162" s="42">
        <f t="shared" si="2"/>
        <v>39965</v>
      </c>
      <c r="D162" s="103">
        <v>9.7257099999999994</v>
      </c>
      <c r="E162" s="103">
        <v>39.5</v>
      </c>
      <c r="F162" s="103">
        <v>25.7</v>
      </c>
      <c r="G162" s="103">
        <v>0</v>
      </c>
      <c r="H162" s="119">
        <v>164.16</v>
      </c>
      <c r="I162" s="119">
        <v>38</v>
      </c>
      <c r="L162" s="45">
        <v>2009</v>
      </c>
      <c r="M162" s="45">
        <v>152</v>
      </c>
    </row>
    <row r="163" spans="2:13" s="22" customFormat="1" x14ac:dyDescent="0.3">
      <c r="B163" s="42">
        <f t="shared" si="2"/>
        <v>39966</v>
      </c>
      <c r="D163" s="103">
        <v>21.801200000000001</v>
      </c>
      <c r="E163" s="103">
        <v>40.5</v>
      </c>
      <c r="F163" s="103">
        <v>28</v>
      </c>
      <c r="G163" s="103">
        <v>4.5</v>
      </c>
      <c r="H163" s="119">
        <v>190.08</v>
      </c>
      <c r="I163" s="119">
        <v>33</v>
      </c>
      <c r="L163" s="45">
        <v>2009</v>
      </c>
      <c r="M163" s="45">
        <v>153</v>
      </c>
    </row>
    <row r="164" spans="2:13" s="22" customFormat="1" x14ac:dyDescent="0.3">
      <c r="B164" s="42">
        <f t="shared" si="2"/>
        <v>39967</v>
      </c>
      <c r="D164" s="103">
        <v>20.1069</v>
      </c>
      <c r="E164" s="103">
        <v>40.5</v>
      </c>
      <c r="F164" s="103">
        <v>19.5</v>
      </c>
      <c r="G164" s="103">
        <v>1.5</v>
      </c>
      <c r="H164" s="119">
        <v>302.39999999999998</v>
      </c>
      <c r="I164" s="119">
        <v>43</v>
      </c>
      <c r="L164" s="45">
        <v>2009</v>
      </c>
      <c r="M164" s="45">
        <v>154</v>
      </c>
    </row>
    <row r="165" spans="2:13" s="22" customFormat="1" x14ac:dyDescent="0.3">
      <c r="B165" s="42">
        <f t="shared" si="2"/>
        <v>39968</v>
      </c>
      <c r="D165" s="103">
        <v>10.081200000000001</v>
      </c>
      <c r="E165" s="103">
        <v>37.25</v>
      </c>
      <c r="F165" s="103">
        <v>20.5</v>
      </c>
      <c r="G165" s="103">
        <v>0</v>
      </c>
      <c r="H165" s="119">
        <v>233.28</v>
      </c>
      <c r="I165" s="119">
        <v>33</v>
      </c>
      <c r="L165" s="45">
        <v>2009</v>
      </c>
      <c r="M165" s="45">
        <v>155</v>
      </c>
    </row>
    <row r="166" spans="2:13" s="22" customFormat="1" x14ac:dyDescent="0.3">
      <c r="B166" s="42">
        <f t="shared" si="2"/>
        <v>39969</v>
      </c>
      <c r="D166" s="103">
        <v>19.9907</v>
      </c>
      <c r="E166" s="103">
        <v>36.5</v>
      </c>
      <c r="F166" s="103">
        <v>24.5</v>
      </c>
      <c r="G166" s="103">
        <v>20</v>
      </c>
      <c r="H166" s="119">
        <v>241.92</v>
      </c>
      <c r="I166" s="119">
        <v>44</v>
      </c>
      <c r="L166" s="45">
        <v>2009</v>
      </c>
      <c r="M166" s="45">
        <v>156</v>
      </c>
    </row>
    <row r="167" spans="2:13" s="22" customFormat="1" x14ac:dyDescent="0.3">
      <c r="B167" s="42">
        <f t="shared" si="2"/>
        <v>39970</v>
      </c>
      <c r="D167" s="106">
        <v>11.412800000000001</v>
      </c>
      <c r="E167" s="106">
        <v>35.25</v>
      </c>
      <c r="F167" s="106">
        <v>18.5</v>
      </c>
      <c r="G167" s="106">
        <v>9</v>
      </c>
      <c r="H167" s="120">
        <v>190.08</v>
      </c>
      <c r="I167" s="120">
        <v>38</v>
      </c>
      <c r="L167" s="22">
        <v>2009</v>
      </c>
      <c r="M167" s="22">
        <v>157</v>
      </c>
    </row>
    <row r="168" spans="2:13" s="22" customFormat="1" x14ac:dyDescent="0.3">
      <c r="B168" s="42">
        <f t="shared" si="2"/>
        <v>39971</v>
      </c>
      <c r="D168" s="106">
        <v>22.921500000000002</v>
      </c>
      <c r="E168" s="106">
        <v>34.25</v>
      </c>
      <c r="F168" s="106">
        <v>21.5</v>
      </c>
      <c r="G168" s="106">
        <v>0</v>
      </c>
      <c r="H168" s="120">
        <v>138.24</v>
      </c>
      <c r="I168" s="120">
        <v>41</v>
      </c>
      <c r="L168" s="22">
        <v>2009</v>
      </c>
      <c r="M168" s="22">
        <v>158</v>
      </c>
    </row>
    <row r="169" spans="2:13" s="22" customFormat="1" x14ac:dyDescent="0.3">
      <c r="B169" s="42">
        <f t="shared" si="2"/>
        <v>39972</v>
      </c>
      <c r="D169" s="106">
        <v>10.105499999999999</v>
      </c>
      <c r="E169" s="106">
        <v>35</v>
      </c>
      <c r="F169" s="106">
        <v>23.5</v>
      </c>
      <c r="G169" s="106">
        <v>0</v>
      </c>
      <c r="H169" s="120">
        <v>95.04</v>
      </c>
      <c r="I169" s="120">
        <v>33</v>
      </c>
      <c r="L169" s="22">
        <v>2009</v>
      </c>
      <c r="M169" s="22">
        <v>159</v>
      </c>
    </row>
    <row r="170" spans="2:13" s="22" customFormat="1" x14ac:dyDescent="0.3">
      <c r="B170" s="42">
        <f t="shared" si="2"/>
        <v>39973</v>
      </c>
      <c r="D170" s="106">
        <v>11.702400000000001</v>
      </c>
      <c r="E170" s="106">
        <v>35.75</v>
      </c>
      <c r="F170" s="106">
        <v>23.5</v>
      </c>
      <c r="G170" s="106">
        <v>0</v>
      </c>
      <c r="H170" s="120">
        <v>233.28</v>
      </c>
      <c r="I170" s="120">
        <v>23</v>
      </c>
      <c r="L170" s="22">
        <v>2009</v>
      </c>
      <c r="M170" s="22">
        <v>160</v>
      </c>
    </row>
    <row r="171" spans="2:13" s="22" customFormat="1" x14ac:dyDescent="0.3">
      <c r="B171" s="42">
        <f t="shared" ref="B171:B234" si="3">DATE(L171-1,12,31)+M171</f>
        <v>39974</v>
      </c>
      <c r="D171" s="106">
        <v>15.819699999999999</v>
      </c>
      <c r="E171" s="106">
        <v>38.25</v>
      </c>
      <c r="F171" s="106">
        <v>26.25</v>
      </c>
      <c r="G171" s="106">
        <v>0</v>
      </c>
      <c r="H171" s="120">
        <v>77.760000000000005</v>
      </c>
      <c r="I171" s="120">
        <v>11</v>
      </c>
      <c r="L171" s="22">
        <v>2009</v>
      </c>
      <c r="M171" s="22">
        <v>161</v>
      </c>
    </row>
    <row r="172" spans="2:13" s="22" customFormat="1" x14ac:dyDescent="0.3">
      <c r="B172" s="42">
        <f t="shared" si="3"/>
        <v>39975</v>
      </c>
      <c r="D172" s="106">
        <v>7.61409</v>
      </c>
      <c r="E172" s="106">
        <v>33.5</v>
      </c>
      <c r="F172" s="106">
        <v>23.75</v>
      </c>
      <c r="G172" s="106">
        <v>28</v>
      </c>
      <c r="H172" s="120">
        <v>276.48</v>
      </c>
      <c r="I172" s="120">
        <v>49</v>
      </c>
      <c r="L172" s="22">
        <v>2009</v>
      </c>
      <c r="M172" s="22">
        <v>162</v>
      </c>
    </row>
    <row r="173" spans="2:13" s="22" customFormat="1" x14ac:dyDescent="0.3">
      <c r="B173" s="42">
        <f t="shared" si="3"/>
        <v>39976</v>
      </c>
      <c r="D173" s="106">
        <v>17.335599999999999</v>
      </c>
      <c r="E173" s="106">
        <v>30.25</v>
      </c>
      <c r="F173" s="106">
        <v>21</v>
      </c>
      <c r="G173" s="106">
        <v>9</v>
      </c>
      <c r="H173" s="120">
        <v>164.16</v>
      </c>
      <c r="I173" s="120">
        <v>35</v>
      </c>
      <c r="L173" s="22">
        <v>2009</v>
      </c>
      <c r="M173" s="22">
        <v>163</v>
      </c>
    </row>
    <row r="174" spans="2:13" s="22" customFormat="1" x14ac:dyDescent="0.3">
      <c r="B174" s="42">
        <f t="shared" si="3"/>
        <v>39977</v>
      </c>
      <c r="D174" s="106">
        <v>18.529900000000001</v>
      </c>
      <c r="E174" s="106">
        <v>33</v>
      </c>
      <c r="F174" s="106">
        <v>21.5</v>
      </c>
      <c r="G174" s="106">
        <v>0</v>
      </c>
      <c r="H174" s="120">
        <v>198.72</v>
      </c>
      <c r="I174" s="120">
        <v>43</v>
      </c>
      <c r="L174" s="22">
        <v>2009</v>
      </c>
      <c r="M174" s="22">
        <v>164</v>
      </c>
    </row>
    <row r="175" spans="2:13" s="22" customFormat="1" x14ac:dyDescent="0.3">
      <c r="B175" s="42">
        <f t="shared" si="3"/>
        <v>39978</v>
      </c>
      <c r="D175" s="106">
        <v>22.235800000000001</v>
      </c>
      <c r="E175" s="106">
        <v>29</v>
      </c>
      <c r="F175" s="106">
        <v>22</v>
      </c>
      <c r="G175" s="106">
        <v>12</v>
      </c>
      <c r="H175" s="120">
        <v>95.04</v>
      </c>
      <c r="I175" s="120">
        <v>53</v>
      </c>
      <c r="L175" s="22">
        <v>2009</v>
      </c>
      <c r="M175" s="22">
        <v>165</v>
      </c>
    </row>
    <row r="176" spans="2:13" s="22" customFormat="1" x14ac:dyDescent="0.3">
      <c r="B176" s="42">
        <f t="shared" si="3"/>
        <v>39979</v>
      </c>
      <c r="D176" s="106">
        <v>18.547599999999999</v>
      </c>
      <c r="E176" s="106">
        <v>31.5</v>
      </c>
      <c r="F176" s="106">
        <v>20.75</v>
      </c>
      <c r="G176" s="106">
        <v>0</v>
      </c>
      <c r="H176" s="120">
        <v>164.16</v>
      </c>
      <c r="I176" s="120">
        <v>32</v>
      </c>
      <c r="L176" s="22">
        <v>2009</v>
      </c>
      <c r="M176" s="22">
        <v>166</v>
      </c>
    </row>
    <row r="177" spans="2:13" s="22" customFormat="1" x14ac:dyDescent="0.3">
      <c r="B177" s="42">
        <f t="shared" si="3"/>
        <v>39980</v>
      </c>
      <c r="D177" s="106">
        <v>21.070699999999999</v>
      </c>
      <c r="E177" s="106">
        <v>33</v>
      </c>
      <c r="F177" s="106">
        <v>24.5</v>
      </c>
      <c r="G177" s="106">
        <v>0</v>
      </c>
      <c r="H177" s="120">
        <v>285.12</v>
      </c>
      <c r="I177" s="120">
        <v>41</v>
      </c>
      <c r="L177" s="22">
        <v>2009</v>
      </c>
      <c r="M177" s="22">
        <v>167</v>
      </c>
    </row>
    <row r="178" spans="2:13" s="22" customFormat="1" x14ac:dyDescent="0.3">
      <c r="B178" s="42">
        <f t="shared" si="3"/>
        <v>39981</v>
      </c>
      <c r="D178" s="106">
        <v>20.820399999999999</v>
      </c>
      <c r="E178" s="106">
        <v>34.25</v>
      </c>
      <c r="F178" s="106">
        <v>22.5</v>
      </c>
      <c r="G178" s="106">
        <v>1</v>
      </c>
      <c r="H178" s="120">
        <v>233.28</v>
      </c>
      <c r="I178" s="120">
        <v>55</v>
      </c>
      <c r="L178" s="22">
        <v>2009</v>
      </c>
      <c r="M178" s="22">
        <v>168</v>
      </c>
    </row>
    <row r="179" spans="2:13" s="22" customFormat="1" x14ac:dyDescent="0.3">
      <c r="B179" s="42">
        <f t="shared" si="3"/>
        <v>39982</v>
      </c>
      <c r="D179" s="106">
        <v>20.174399999999999</v>
      </c>
      <c r="E179" s="106">
        <v>35</v>
      </c>
      <c r="F179" s="106">
        <v>22.45</v>
      </c>
      <c r="G179" s="106">
        <v>0</v>
      </c>
      <c r="H179" s="120">
        <v>60.48</v>
      </c>
      <c r="I179" s="120">
        <v>47</v>
      </c>
      <c r="L179" s="22">
        <v>2009</v>
      </c>
      <c r="M179" s="22">
        <v>169</v>
      </c>
    </row>
    <row r="180" spans="2:13" s="22" customFormat="1" x14ac:dyDescent="0.3">
      <c r="B180" s="42">
        <f t="shared" si="3"/>
        <v>39983</v>
      </c>
      <c r="D180" s="106">
        <v>20.9863</v>
      </c>
      <c r="E180" s="106">
        <v>36</v>
      </c>
      <c r="F180" s="106">
        <v>25.2</v>
      </c>
      <c r="G180" s="106">
        <v>0</v>
      </c>
      <c r="H180" s="120">
        <v>241.92</v>
      </c>
      <c r="I180" s="120">
        <v>57</v>
      </c>
      <c r="L180" s="22">
        <v>2009</v>
      </c>
      <c r="M180" s="22">
        <v>170</v>
      </c>
    </row>
    <row r="181" spans="2:13" s="22" customFormat="1" x14ac:dyDescent="0.3">
      <c r="B181" s="42">
        <f t="shared" si="3"/>
        <v>39984</v>
      </c>
      <c r="D181" s="106">
        <v>10.1333</v>
      </c>
      <c r="E181" s="106">
        <v>34.5</v>
      </c>
      <c r="F181" s="106">
        <v>24.5</v>
      </c>
      <c r="G181" s="106">
        <v>0</v>
      </c>
      <c r="H181" s="120">
        <v>319.68</v>
      </c>
      <c r="I181" s="120">
        <v>43</v>
      </c>
      <c r="L181" s="22">
        <v>2009</v>
      </c>
      <c r="M181" s="22">
        <v>171</v>
      </c>
    </row>
    <row r="182" spans="2:13" s="22" customFormat="1" x14ac:dyDescent="0.3">
      <c r="B182" s="42">
        <f t="shared" si="3"/>
        <v>39985</v>
      </c>
      <c r="D182" s="106">
        <v>19.710999999999999</v>
      </c>
      <c r="E182" s="106">
        <v>33</v>
      </c>
      <c r="F182" s="106">
        <v>24</v>
      </c>
      <c r="G182" s="106">
        <v>31</v>
      </c>
      <c r="H182" s="120">
        <v>276.48</v>
      </c>
      <c r="I182" s="120">
        <v>52</v>
      </c>
      <c r="L182" s="22">
        <v>2009</v>
      </c>
      <c r="M182" s="22">
        <v>172</v>
      </c>
    </row>
    <row r="183" spans="2:13" s="22" customFormat="1" x14ac:dyDescent="0.3">
      <c r="B183" s="42">
        <f t="shared" si="3"/>
        <v>39986</v>
      </c>
      <c r="D183" s="106">
        <v>19.453900000000001</v>
      </c>
      <c r="E183" s="106">
        <v>33.25</v>
      </c>
      <c r="F183" s="106">
        <v>19.5</v>
      </c>
      <c r="G183" s="106">
        <v>0</v>
      </c>
      <c r="H183" s="120">
        <v>138.24</v>
      </c>
      <c r="I183" s="120">
        <v>55</v>
      </c>
      <c r="L183" s="22">
        <v>2009</v>
      </c>
      <c r="M183" s="22">
        <v>173</v>
      </c>
    </row>
    <row r="184" spans="2:13" s="22" customFormat="1" x14ac:dyDescent="0.3">
      <c r="B184" s="42">
        <f t="shared" si="3"/>
        <v>39987</v>
      </c>
      <c r="D184" s="106">
        <v>22.235800000000001</v>
      </c>
      <c r="E184" s="106">
        <v>33.25</v>
      </c>
      <c r="F184" s="106">
        <v>23</v>
      </c>
      <c r="G184" s="106">
        <v>0</v>
      </c>
      <c r="H184" s="120">
        <v>51.84</v>
      </c>
      <c r="I184" s="120">
        <v>49</v>
      </c>
      <c r="L184" s="22">
        <v>2009</v>
      </c>
      <c r="M184" s="22">
        <v>174</v>
      </c>
    </row>
    <row r="185" spans="2:13" s="22" customFormat="1" x14ac:dyDescent="0.3">
      <c r="B185" s="42">
        <f t="shared" si="3"/>
        <v>39988</v>
      </c>
      <c r="D185" s="106">
        <v>21.4544</v>
      </c>
      <c r="E185" s="106">
        <v>35.75</v>
      </c>
      <c r="F185" s="106">
        <v>24.5</v>
      </c>
      <c r="G185" s="106">
        <v>0</v>
      </c>
      <c r="H185" s="120">
        <v>181.44</v>
      </c>
      <c r="I185" s="120">
        <v>46</v>
      </c>
      <c r="L185" s="22">
        <v>2009</v>
      </c>
      <c r="M185" s="22">
        <v>175</v>
      </c>
    </row>
    <row r="186" spans="2:13" s="22" customFormat="1" x14ac:dyDescent="0.3">
      <c r="B186" s="42">
        <f t="shared" si="3"/>
        <v>39989</v>
      </c>
      <c r="D186" s="106">
        <v>18.4267</v>
      </c>
      <c r="E186" s="106">
        <v>36</v>
      </c>
      <c r="F186" s="106">
        <v>27</v>
      </c>
      <c r="G186" s="106">
        <v>0</v>
      </c>
      <c r="H186" s="120">
        <v>267.83999999999997</v>
      </c>
      <c r="I186" s="120">
        <v>46</v>
      </c>
      <c r="L186" s="22">
        <v>2009</v>
      </c>
      <c r="M186" s="22">
        <v>176</v>
      </c>
    </row>
    <row r="187" spans="2:13" s="22" customFormat="1" x14ac:dyDescent="0.3">
      <c r="B187" s="42">
        <f t="shared" si="3"/>
        <v>39990</v>
      </c>
      <c r="D187" s="106">
        <v>22.275500000000001</v>
      </c>
      <c r="E187" s="106">
        <v>34.200000000000003</v>
      </c>
      <c r="F187" s="106">
        <v>23.5</v>
      </c>
      <c r="G187" s="106">
        <v>0</v>
      </c>
      <c r="H187" s="120">
        <v>216</v>
      </c>
      <c r="I187" s="120">
        <v>40</v>
      </c>
      <c r="L187" s="22">
        <v>2009</v>
      </c>
      <c r="M187" s="22">
        <v>177</v>
      </c>
    </row>
    <row r="188" spans="2:13" s="22" customFormat="1" x14ac:dyDescent="0.3">
      <c r="B188" s="42">
        <f t="shared" si="3"/>
        <v>39991</v>
      </c>
      <c r="D188" s="106">
        <v>11.57</v>
      </c>
      <c r="E188" s="106">
        <v>32.25</v>
      </c>
      <c r="F188" s="106">
        <v>22</v>
      </c>
      <c r="G188" s="106">
        <v>0</v>
      </c>
      <c r="H188" s="120">
        <v>190.08</v>
      </c>
      <c r="I188" s="120">
        <v>35</v>
      </c>
      <c r="L188" s="22">
        <v>2009</v>
      </c>
      <c r="M188" s="22">
        <v>178</v>
      </c>
    </row>
    <row r="189" spans="2:13" s="22" customFormat="1" x14ac:dyDescent="0.3">
      <c r="B189" s="42">
        <f t="shared" si="3"/>
        <v>39992</v>
      </c>
      <c r="D189" s="106">
        <v>20.721399999999999</v>
      </c>
      <c r="E189" s="106">
        <v>33</v>
      </c>
      <c r="F189" s="106">
        <v>22.5</v>
      </c>
      <c r="G189" s="106">
        <v>0</v>
      </c>
      <c r="H189" s="120">
        <v>224.64</v>
      </c>
      <c r="I189" s="120">
        <v>54</v>
      </c>
      <c r="L189" s="22">
        <v>2009</v>
      </c>
      <c r="M189" s="22">
        <v>179</v>
      </c>
    </row>
    <row r="190" spans="2:13" s="22" customFormat="1" x14ac:dyDescent="0.3">
      <c r="B190" s="42">
        <f t="shared" si="3"/>
        <v>39993</v>
      </c>
      <c r="D190" s="106">
        <v>19.5472</v>
      </c>
      <c r="E190" s="106">
        <v>35.5</v>
      </c>
      <c r="F190" s="106">
        <v>25.75</v>
      </c>
      <c r="G190" s="106">
        <v>14</v>
      </c>
      <c r="H190" s="120">
        <v>233.28</v>
      </c>
      <c r="I190" s="120">
        <v>64</v>
      </c>
      <c r="L190" s="22">
        <v>2009</v>
      </c>
      <c r="M190" s="22">
        <v>180</v>
      </c>
    </row>
    <row r="191" spans="2:13" s="22" customFormat="1" x14ac:dyDescent="0.3">
      <c r="B191" s="42">
        <f t="shared" si="3"/>
        <v>39994</v>
      </c>
      <c r="D191" s="106">
        <v>21.954499999999999</v>
      </c>
      <c r="E191" s="106">
        <v>34.5</v>
      </c>
      <c r="F191" s="106">
        <v>19.5</v>
      </c>
      <c r="G191" s="106">
        <v>0</v>
      </c>
      <c r="H191" s="120">
        <v>224.64</v>
      </c>
      <c r="I191" s="120">
        <v>36</v>
      </c>
      <c r="L191" s="22">
        <v>2009</v>
      </c>
      <c r="M191" s="22">
        <v>181</v>
      </c>
    </row>
    <row r="192" spans="2:13" s="22" customFormat="1" x14ac:dyDescent="0.3">
      <c r="B192" s="42">
        <f t="shared" si="3"/>
        <v>39995</v>
      </c>
      <c r="D192" s="106">
        <v>12.721399999999999</v>
      </c>
      <c r="E192" s="106">
        <v>30.8</v>
      </c>
      <c r="F192" s="106">
        <v>20.3</v>
      </c>
      <c r="G192" s="106">
        <v>4</v>
      </c>
      <c r="H192" s="120">
        <v>129.6</v>
      </c>
      <c r="I192" s="120">
        <v>60</v>
      </c>
      <c r="L192" s="22">
        <v>2009</v>
      </c>
      <c r="M192" s="22">
        <v>182</v>
      </c>
    </row>
    <row r="193" spans="2:13" s="22" customFormat="1" x14ac:dyDescent="0.3">
      <c r="B193" s="42">
        <f t="shared" si="3"/>
        <v>39996</v>
      </c>
      <c r="D193" s="106">
        <v>22.632000000000001</v>
      </c>
      <c r="E193" s="106">
        <v>30.75</v>
      </c>
      <c r="F193" s="106">
        <v>19.75</v>
      </c>
      <c r="G193" s="106">
        <v>0</v>
      </c>
      <c r="H193" s="120">
        <v>120.96</v>
      </c>
      <c r="I193" s="120">
        <v>37</v>
      </c>
      <c r="L193" s="22">
        <v>2009</v>
      </c>
      <c r="M193" s="22">
        <v>183</v>
      </c>
    </row>
    <row r="194" spans="2:13" s="22" customFormat="1" x14ac:dyDescent="0.3">
      <c r="B194" s="42">
        <f t="shared" si="3"/>
        <v>39997</v>
      </c>
      <c r="D194" s="106">
        <v>23.04</v>
      </c>
      <c r="E194" s="106">
        <v>34.5</v>
      </c>
      <c r="F194" s="106">
        <v>22.25</v>
      </c>
      <c r="G194" s="106">
        <v>0</v>
      </c>
      <c r="H194" s="120">
        <v>155.52000000000001</v>
      </c>
      <c r="I194" s="120">
        <v>44</v>
      </c>
      <c r="L194" s="22">
        <v>2009</v>
      </c>
      <c r="M194" s="22">
        <v>184</v>
      </c>
    </row>
    <row r="195" spans="2:13" s="22" customFormat="1" x14ac:dyDescent="0.3">
      <c r="B195" s="42">
        <f t="shared" si="3"/>
        <v>39998</v>
      </c>
      <c r="D195" s="106">
        <v>21.070699999999999</v>
      </c>
      <c r="E195" s="106">
        <v>36</v>
      </c>
      <c r="F195" s="106">
        <v>23.25</v>
      </c>
      <c r="G195" s="106">
        <v>0</v>
      </c>
      <c r="H195" s="120">
        <v>207.36</v>
      </c>
      <c r="I195" s="120">
        <v>51</v>
      </c>
      <c r="L195" s="22">
        <v>2009</v>
      </c>
      <c r="M195" s="22">
        <v>185</v>
      </c>
    </row>
    <row r="196" spans="2:13" s="22" customFormat="1" x14ac:dyDescent="0.3">
      <c r="B196" s="42">
        <f t="shared" si="3"/>
        <v>39999</v>
      </c>
      <c r="D196" s="106">
        <v>19.7622</v>
      </c>
      <c r="E196" s="106">
        <v>36.5</v>
      </c>
      <c r="F196" s="106">
        <v>24.5</v>
      </c>
      <c r="G196" s="106">
        <v>0</v>
      </c>
      <c r="H196" s="120">
        <v>233.28</v>
      </c>
      <c r="I196" s="120">
        <v>56</v>
      </c>
      <c r="L196" s="22">
        <v>2009</v>
      </c>
      <c r="M196" s="22">
        <v>186</v>
      </c>
    </row>
    <row r="197" spans="2:13" s="22" customFormat="1" x14ac:dyDescent="0.3">
      <c r="B197" s="42">
        <f t="shared" si="3"/>
        <v>40000</v>
      </c>
      <c r="D197" s="106">
        <v>19.512499999999999</v>
      </c>
      <c r="E197" s="106">
        <v>35</v>
      </c>
      <c r="F197" s="106">
        <v>22.5</v>
      </c>
      <c r="G197" s="106">
        <v>0</v>
      </c>
      <c r="H197" s="120">
        <v>190.08</v>
      </c>
      <c r="I197" s="120">
        <v>55</v>
      </c>
      <c r="L197" s="22">
        <v>2009</v>
      </c>
      <c r="M197" s="22">
        <v>187</v>
      </c>
    </row>
    <row r="198" spans="2:13" s="22" customFormat="1" x14ac:dyDescent="0.3">
      <c r="B198" s="42">
        <f t="shared" si="3"/>
        <v>40001</v>
      </c>
      <c r="D198" s="106">
        <v>19.6615</v>
      </c>
      <c r="E198" s="106">
        <v>35.75</v>
      </c>
      <c r="F198" s="106">
        <v>21</v>
      </c>
      <c r="G198" s="106">
        <v>8</v>
      </c>
      <c r="H198" s="120">
        <v>241.92</v>
      </c>
      <c r="I198" s="120">
        <v>64</v>
      </c>
      <c r="L198" s="22">
        <v>2009</v>
      </c>
      <c r="M198" s="22">
        <v>188</v>
      </c>
    </row>
    <row r="199" spans="2:13" s="22" customFormat="1" x14ac:dyDescent="0.3">
      <c r="B199" s="42">
        <f t="shared" si="3"/>
        <v>40002</v>
      </c>
      <c r="D199" s="106">
        <v>10.1333</v>
      </c>
      <c r="E199" s="106">
        <v>31.75</v>
      </c>
      <c r="F199" s="106">
        <v>19.5</v>
      </c>
      <c r="G199" s="106">
        <v>0</v>
      </c>
      <c r="H199" s="120">
        <v>155.52000000000001</v>
      </c>
      <c r="I199" s="120">
        <v>53</v>
      </c>
      <c r="L199" s="22">
        <v>2009</v>
      </c>
      <c r="M199" s="22">
        <v>189</v>
      </c>
    </row>
    <row r="200" spans="2:13" s="22" customFormat="1" x14ac:dyDescent="0.3">
      <c r="B200" s="42">
        <f t="shared" si="3"/>
        <v>40003</v>
      </c>
      <c r="D200" s="106">
        <v>22.3504</v>
      </c>
      <c r="E200" s="106">
        <v>31.25</v>
      </c>
      <c r="F200" s="106">
        <v>22.5</v>
      </c>
      <c r="G200" s="106">
        <v>23</v>
      </c>
      <c r="H200" s="120">
        <v>198.72</v>
      </c>
      <c r="I200" s="120">
        <v>56</v>
      </c>
      <c r="L200" s="22">
        <v>2009</v>
      </c>
      <c r="M200" s="22">
        <v>190</v>
      </c>
    </row>
    <row r="201" spans="2:13" s="22" customFormat="1" x14ac:dyDescent="0.3">
      <c r="B201" s="42">
        <f t="shared" si="3"/>
        <v>40004</v>
      </c>
      <c r="D201" s="106">
        <v>7.7050299999999998</v>
      </c>
      <c r="E201" s="106">
        <v>29</v>
      </c>
      <c r="F201" s="106">
        <v>16.75</v>
      </c>
      <c r="G201" s="106">
        <v>7</v>
      </c>
      <c r="H201" s="120">
        <v>233.28</v>
      </c>
      <c r="I201" s="120">
        <v>61</v>
      </c>
      <c r="L201" s="22">
        <v>2009</v>
      </c>
      <c r="M201" s="22">
        <v>191</v>
      </c>
    </row>
    <row r="202" spans="2:13" s="22" customFormat="1" x14ac:dyDescent="0.3">
      <c r="B202" s="42">
        <f t="shared" si="3"/>
        <v>40005</v>
      </c>
      <c r="D202" s="106">
        <v>21.575399999999998</v>
      </c>
      <c r="E202" s="106">
        <v>27.95</v>
      </c>
      <c r="F202" s="106">
        <v>21.5</v>
      </c>
      <c r="G202" s="106">
        <v>32</v>
      </c>
      <c r="H202" s="120">
        <v>181.44</v>
      </c>
      <c r="I202" s="120">
        <v>56</v>
      </c>
      <c r="L202" s="22">
        <v>2009</v>
      </c>
      <c r="M202" s="22">
        <v>192</v>
      </c>
    </row>
    <row r="203" spans="2:13" s="22" customFormat="1" x14ac:dyDescent="0.3">
      <c r="B203" s="42">
        <f t="shared" si="3"/>
        <v>40006</v>
      </c>
      <c r="D203" s="106">
        <v>23.436299999999999</v>
      </c>
      <c r="E203" s="106">
        <v>30.95</v>
      </c>
      <c r="F203" s="106">
        <v>19</v>
      </c>
      <c r="G203" s="106">
        <v>0</v>
      </c>
      <c r="H203" s="120">
        <v>190.08</v>
      </c>
      <c r="I203" s="120">
        <v>58</v>
      </c>
      <c r="L203" s="22">
        <v>2009</v>
      </c>
      <c r="M203" s="22">
        <v>193</v>
      </c>
    </row>
    <row r="204" spans="2:13" s="22" customFormat="1" x14ac:dyDescent="0.3">
      <c r="B204" s="42">
        <f t="shared" si="3"/>
        <v>40007</v>
      </c>
      <c r="D204" s="106">
        <v>22.392700000000001</v>
      </c>
      <c r="E204" s="106">
        <v>31.25</v>
      </c>
      <c r="F204" s="106">
        <v>19</v>
      </c>
      <c r="G204" s="106">
        <v>0</v>
      </c>
      <c r="H204" s="120">
        <v>164.16</v>
      </c>
      <c r="I204" s="120">
        <v>57</v>
      </c>
      <c r="L204" s="22">
        <v>2009</v>
      </c>
      <c r="M204" s="22">
        <v>194</v>
      </c>
    </row>
    <row r="205" spans="2:13" s="22" customFormat="1" x14ac:dyDescent="0.3">
      <c r="B205" s="42">
        <f t="shared" si="3"/>
        <v>40008</v>
      </c>
      <c r="D205" s="106">
        <v>9.4441199999999998</v>
      </c>
      <c r="E205" s="106">
        <v>32</v>
      </c>
      <c r="F205" s="106">
        <v>20.5</v>
      </c>
      <c r="G205" s="106">
        <v>23</v>
      </c>
      <c r="H205" s="120">
        <v>129.6</v>
      </c>
      <c r="I205" s="120">
        <v>51</v>
      </c>
      <c r="L205" s="22">
        <v>2009</v>
      </c>
      <c r="M205" s="22">
        <v>195</v>
      </c>
    </row>
    <row r="206" spans="2:13" s="22" customFormat="1" x14ac:dyDescent="0.3">
      <c r="B206" s="42">
        <f t="shared" si="3"/>
        <v>40009</v>
      </c>
      <c r="D206" s="106">
        <v>16.997399999999999</v>
      </c>
      <c r="E206" s="106">
        <v>28.75</v>
      </c>
      <c r="F206" s="106">
        <v>22</v>
      </c>
      <c r="G206" s="106">
        <v>0</v>
      </c>
      <c r="H206" s="120">
        <v>216</v>
      </c>
      <c r="I206" s="120">
        <v>52</v>
      </c>
      <c r="L206" s="22">
        <v>2009</v>
      </c>
      <c r="M206" s="22">
        <v>196</v>
      </c>
    </row>
    <row r="207" spans="2:13" s="22" customFormat="1" x14ac:dyDescent="0.3">
      <c r="B207" s="42">
        <f t="shared" si="3"/>
        <v>40010</v>
      </c>
      <c r="D207" s="106">
        <v>21.516200000000001</v>
      </c>
      <c r="E207" s="106">
        <v>31.25</v>
      </c>
      <c r="F207" s="106">
        <v>22.25</v>
      </c>
      <c r="G207" s="106">
        <v>13</v>
      </c>
      <c r="H207" s="120">
        <v>172.8</v>
      </c>
      <c r="I207" s="120">
        <v>58</v>
      </c>
      <c r="L207" s="22">
        <v>2009</v>
      </c>
      <c r="M207" s="22">
        <v>197</v>
      </c>
    </row>
    <row r="208" spans="2:13" s="22" customFormat="1" x14ac:dyDescent="0.3">
      <c r="B208" s="42">
        <f t="shared" si="3"/>
        <v>40011</v>
      </c>
      <c r="D208" s="106">
        <v>21.801200000000001</v>
      </c>
      <c r="E208" s="106">
        <v>31.25</v>
      </c>
      <c r="F208" s="106">
        <v>17.75</v>
      </c>
      <c r="G208" s="106">
        <v>2.2999999999999998</v>
      </c>
      <c r="H208" s="120">
        <v>224.64</v>
      </c>
      <c r="I208" s="120">
        <v>56</v>
      </c>
      <c r="L208" s="22">
        <v>2009</v>
      </c>
      <c r="M208" s="22">
        <v>198</v>
      </c>
    </row>
    <row r="209" spans="2:13" s="22" customFormat="1" x14ac:dyDescent="0.3">
      <c r="B209" s="42">
        <f t="shared" si="3"/>
        <v>40012</v>
      </c>
      <c r="D209" s="106">
        <v>11.661</v>
      </c>
      <c r="E209" s="106">
        <v>30.5</v>
      </c>
      <c r="F209" s="106">
        <v>22.6</v>
      </c>
      <c r="G209" s="106">
        <v>22</v>
      </c>
      <c r="H209" s="120">
        <v>285.12</v>
      </c>
      <c r="I209" s="120">
        <v>68</v>
      </c>
      <c r="L209" s="22">
        <v>2009</v>
      </c>
      <c r="M209" s="22">
        <v>199</v>
      </c>
    </row>
    <row r="210" spans="2:13" s="22" customFormat="1" x14ac:dyDescent="0.3">
      <c r="B210" s="42">
        <f t="shared" si="3"/>
        <v>40013</v>
      </c>
      <c r="D210" s="106">
        <v>14.041499999999999</v>
      </c>
      <c r="E210" s="106">
        <v>30</v>
      </c>
      <c r="F210" s="106">
        <v>20.5</v>
      </c>
      <c r="G210" s="106">
        <v>0</v>
      </c>
      <c r="H210" s="120">
        <v>216</v>
      </c>
      <c r="I210" s="120">
        <v>59</v>
      </c>
      <c r="L210" s="22">
        <v>2009</v>
      </c>
      <c r="M210" s="22">
        <v>200</v>
      </c>
    </row>
    <row r="211" spans="2:13" s="22" customFormat="1" x14ac:dyDescent="0.3">
      <c r="B211" s="42">
        <f t="shared" si="3"/>
        <v>40014</v>
      </c>
      <c r="D211" s="106">
        <v>21.971599999999999</v>
      </c>
      <c r="E211" s="106">
        <v>31.75</v>
      </c>
      <c r="F211" s="106">
        <v>22.5</v>
      </c>
      <c r="G211" s="106">
        <v>0</v>
      </c>
      <c r="H211" s="120">
        <v>77.760000000000005</v>
      </c>
      <c r="I211" s="120">
        <v>63</v>
      </c>
      <c r="L211" s="22">
        <v>2009</v>
      </c>
      <c r="M211" s="22">
        <v>201</v>
      </c>
    </row>
    <row r="212" spans="2:13" s="22" customFormat="1" x14ac:dyDescent="0.3">
      <c r="B212" s="42">
        <f t="shared" si="3"/>
        <v>40015</v>
      </c>
      <c r="D212" s="106">
        <v>21.190200000000001</v>
      </c>
      <c r="E212" s="106">
        <v>32.5</v>
      </c>
      <c r="F212" s="106">
        <v>21.75</v>
      </c>
      <c r="G212" s="106">
        <v>0</v>
      </c>
      <c r="H212" s="120">
        <v>95.04</v>
      </c>
      <c r="I212" s="120">
        <v>51</v>
      </c>
      <c r="L212" s="22">
        <v>2009</v>
      </c>
      <c r="M212" s="22">
        <v>202</v>
      </c>
    </row>
    <row r="213" spans="2:13" s="22" customFormat="1" x14ac:dyDescent="0.3">
      <c r="B213" s="42">
        <f t="shared" si="3"/>
        <v>40016</v>
      </c>
      <c r="D213" s="106">
        <v>19.616499999999998</v>
      </c>
      <c r="E213" s="106">
        <v>32.75</v>
      </c>
      <c r="F213" s="106">
        <v>21.5</v>
      </c>
      <c r="G213" s="106">
        <v>0</v>
      </c>
      <c r="H213" s="120">
        <v>198.72</v>
      </c>
      <c r="I213" s="120">
        <v>52</v>
      </c>
      <c r="L213" s="22">
        <v>2009</v>
      </c>
      <c r="M213" s="22">
        <v>203</v>
      </c>
    </row>
    <row r="214" spans="2:13" s="22" customFormat="1" x14ac:dyDescent="0.3">
      <c r="B214" s="42">
        <f t="shared" si="3"/>
        <v>40017</v>
      </c>
      <c r="D214" s="106">
        <v>21.349599999999999</v>
      </c>
      <c r="E214" s="106">
        <v>33.200000000000003</v>
      </c>
      <c r="F214" s="106">
        <v>23.75</v>
      </c>
      <c r="G214" s="106">
        <v>0</v>
      </c>
      <c r="H214" s="120">
        <v>207.36</v>
      </c>
      <c r="I214" s="120">
        <v>53</v>
      </c>
      <c r="L214" s="22">
        <v>2009</v>
      </c>
      <c r="M214" s="22">
        <v>204</v>
      </c>
    </row>
    <row r="215" spans="2:13" s="22" customFormat="1" x14ac:dyDescent="0.3">
      <c r="B215" s="42">
        <f t="shared" si="3"/>
        <v>40018</v>
      </c>
      <c r="D215" s="106">
        <v>21.3658</v>
      </c>
      <c r="E215" s="106">
        <v>34</v>
      </c>
      <c r="F215" s="106">
        <v>24</v>
      </c>
      <c r="G215" s="106">
        <v>0</v>
      </c>
      <c r="H215" s="120">
        <v>164.16</v>
      </c>
      <c r="I215" s="120">
        <v>61</v>
      </c>
      <c r="L215" s="22">
        <v>2009</v>
      </c>
      <c r="M215" s="22">
        <v>205</v>
      </c>
    </row>
    <row r="216" spans="2:13" s="22" customFormat="1" x14ac:dyDescent="0.3">
      <c r="B216" s="42">
        <f t="shared" si="3"/>
        <v>40019</v>
      </c>
      <c r="D216" s="106">
        <v>11.0505</v>
      </c>
      <c r="E216" s="106">
        <v>32.75</v>
      </c>
      <c r="F216" s="106">
        <v>23.25</v>
      </c>
      <c r="G216" s="106">
        <v>0</v>
      </c>
      <c r="H216" s="120">
        <v>190.08</v>
      </c>
      <c r="I216" s="120">
        <v>66</v>
      </c>
      <c r="L216" s="22">
        <v>2009</v>
      </c>
      <c r="M216" s="22">
        <v>206</v>
      </c>
    </row>
    <row r="217" spans="2:13" s="22" customFormat="1" x14ac:dyDescent="0.3">
      <c r="B217" s="42">
        <f t="shared" si="3"/>
        <v>40020</v>
      </c>
      <c r="D217" s="106">
        <v>20.873100000000001</v>
      </c>
      <c r="E217" s="106">
        <v>34.75</v>
      </c>
      <c r="F217" s="106">
        <v>24.75</v>
      </c>
      <c r="G217" s="106">
        <v>0</v>
      </c>
      <c r="H217" s="120">
        <v>138.24</v>
      </c>
      <c r="I217" s="120">
        <v>55</v>
      </c>
      <c r="L217" s="22">
        <v>2009</v>
      </c>
      <c r="M217" s="22">
        <v>207</v>
      </c>
    </row>
    <row r="218" spans="2:13" s="22" customFormat="1" x14ac:dyDescent="0.3">
      <c r="B218" s="42">
        <f t="shared" si="3"/>
        <v>40021</v>
      </c>
      <c r="D218" s="106">
        <v>20.7668</v>
      </c>
      <c r="E218" s="106">
        <v>33.5</v>
      </c>
      <c r="F218" s="106">
        <v>22.25</v>
      </c>
      <c r="G218" s="106">
        <v>11</v>
      </c>
      <c r="H218" s="120">
        <v>155.52000000000001</v>
      </c>
      <c r="I218" s="120">
        <v>63</v>
      </c>
      <c r="L218" s="22">
        <v>2009</v>
      </c>
      <c r="M218" s="22">
        <v>208</v>
      </c>
    </row>
    <row r="219" spans="2:13" s="22" customFormat="1" x14ac:dyDescent="0.3">
      <c r="B219" s="42">
        <f t="shared" si="3"/>
        <v>40022</v>
      </c>
      <c r="D219" s="106">
        <v>16.021699999999999</v>
      </c>
      <c r="E219" s="106">
        <v>32.75</v>
      </c>
      <c r="F219" s="106">
        <v>20.75</v>
      </c>
      <c r="G219" s="106">
        <v>0</v>
      </c>
      <c r="H219" s="120">
        <v>112.32</v>
      </c>
      <c r="I219" s="120">
        <v>46</v>
      </c>
      <c r="L219" s="22">
        <v>2009</v>
      </c>
      <c r="M219" s="22">
        <v>209</v>
      </c>
    </row>
    <row r="220" spans="2:13" s="22" customFormat="1" x14ac:dyDescent="0.3">
      <c r="B220" s="42">
        <f t="shared" si="3"/>
        <v>40023</v>
      </c>
      <c r="D220" s="106">
        <v>10.085900000000001</v>
      </c>
      <c r="E220" s="106">
        <v>30</v>
      </c>
      <c r="F220" s="106">
        <v>23</v>
      </c>
      <c r="G220" s="106">
        <v>4.3</v>
      </c>
      <c r="H220" s="120">
        <v>155.52000000000001</v>
      </c>
      <c r="I220" s="120">
        <v>69</v>
      </c>
      <c r="L220" s="22">
        <v>2009</v>
      </c>
      <c r="M220" s="22">
        <v>210</v>
      </c>
    </row>
    <row r="221" spans="2:13" s="22" customFormat="1" x14ac:dyDescent="0.3">
      <c r="B221" s="42">
        <f t="shared" si="3"/>
        <v>40024</v>
      </c>
      <c r="D221" s="106">
        <v>23.9648</v>
      </c>
      <c r="E221" s="106">
        <v>30.5</v>
      </c>
      <c r="F221" s="106">
        <v>21</v>
      </c>
      <c r="G221" s="106">
        <v>0</v>
      </c>
      <c r="H221" s="120">
        <v>190.08</v>
      </c>
      <c r="I221" s="120">
        <v>59</v>
      </c>
      <c r="L221" s="22">
        <v>2009</v>
      </c>
      <c r="M221" s="22">
        <v>211</v>
      </c>
    </row>
    <row r="222" spans="2:13" s="22" customFormat="1" x14ac:dyDescent="0.3">
      <c r="B222" s="42">
        <f t="shared" si="3"/>
        <v>40025</v>
      </c>
      <c r="D222" s="106">
        <v>10.7591</v>
      </c>
      <c r="E222" s="106">
        <v>31.25</v>
      </c>
      <c r="F222" s="106">
        <v>23.5</v>
      </c>
      <c r="G222" s="106">
        <v>0</v>
      </c>
      <c r="H222" s="120">
        <v>155.52000000000001</v>
      </c>
      <c r="I222" s="120">
        <v>65</v>
      </c>
      <c r="L222" s="22">
        <v>2009</v>
      </c>
      <c r="M222" s="22">
        <v>212</v>
      </c>
    </row>
    <row r="223" spans="2:13" s="22" customFormat="1" x14ac:dyDescent="0.3">
      <c r="B223" s="42">
        <f t="shared" si="3"/>
        <v>40026</v>
      </c>
      <c r="D223" s="106">
        <v>8.7827000000000002</v>
      </c>
      <c r="E223" s="106">
        <v>29.25</v>
      </c>
      <c r="F223" s="106">
        <v>20.5</v>
      </c>
      <c r="G223" s="106">
        <v>23</v>
      </c>
      <c r="H223" s="120">
        <v>164.16</v>
      </c>
      <c r="I223" s="120">
        <v>60</v>
      </c>
      <c r="L223" s="22">
        <v>2009</v>
      </c>
      <c r="M223" s="22">
        <v>213</v>
      </c>
    </row>
    <row r="224" spans="2:13" s="22" customFormat="1" x14ac:dyDescent="0.3">
      <c r="B224" s="42">
        <f t="shared" si="3"/>
        <v>40027</v>
      </c>
      <c r="D224" s="106">
        <v>21.3658</v>
      </c>
      <c r="E224" s="106">
        <v>30.25</v>
      </c>
      <c r="F224" s="106">
        <v>22.5</v>
      </c>
      <c r="G224" s="106">
        <v>0</v>
      </c>
      <c r="H224" s="120">
        <v>120.96</v>
      </c>
      <c r="I224" s="120">
        <v>64</v>
      </c>
      <c r="L224" s="22">
        <v>2009</v>
      </c>
      <c r="M224" s="22">
        <v>214</v>
      </c>
    </row>
    <row r="225" spans="2:13" s="22" customFormat="1" x14ac:dyDescent="0.3">
      <c r="B225" s="42">
        <f t="shared" si="3"/>
        <v>40028</v>
      </c>
      <c r="D225" s="106">
        <v>15.4223</v>
      </c>
      <c r="E225" s="106">
        <v>31.7</v>
      </c>
      <c r="F225" s="106">
        <v>22</v>
      </c>
      <c r="G225" s="106">
        <v>37</v>
      </c>
      <c r="H225" s="120">
        <v>146.88</v>
      </c>
      <c r="I225" s="120">
        <v>66</v>
      </c>
      <c r="L225" s="22">
        <v>2009</v>
      </c>
      <c r="M225" s="22">
        <v>215</v>
      </c>
    </row>
    <row r="226" spans="2:13" s="22" customFormat="1" x14ac:dyDescent="0.3">
      <c r="B226" s="42">
        <f t="shared" si="3"/>
        <v>40029</v>
      </c>
      <c r="D226" s="106">
        <v>15.8347</v>
      </c>
      <c r="E226" s="106">
        <v>31.25</v>
      </c>
      <c r="F226" s="106">
        <v>21.25</v>
      </c>
      <c r="G226" s="106">
        <v>2</v>
      </c>
      <c r="H226" s="120">
        <v>155.52000000000001</v>
      </c>
      <c r="I226" s="120">
        <v>68</v>
      </c>
      <c r="L226" s="22">
        <v>2009</v>
      </c>
      <c r="M226" s="22">
        <v>216</v>
      </c>
    </row>
    <row r="227" spans="2:13" s="22" customFormat="1" x14ac:dyDescent="0.3">
      <c r="B227" s="42">
        <f t="shared" si="3"/>
        <v>40030</v>
      </c>
      <c r="D227" s="106">
        <v>20.634799999999998</v>
      </c>
      <c r="E227" s="106">
        <v>31</v>
      </c>
      <c r="F227" s="106">
        <v>21.25</v>
      </c>
      <c r="G227" s="106">
        <v>0</v>
      </c>
      <c r="H227" s="120">
        <v>103.68</v>
      </c>
      <c r="I227" s="120">
        <v>63</v>
      </c>
      <c r="L227" s="22">
        <v>2009</v>
      </c>
      <c r="M227" s="22">
        <v>217</v>
      </c>
    </row>
    <row r="228" spans="2:13" s="22" customFormat="1" x14ac:dyDescent="0.3">
      <c r="B228" s="42">
        <f t="shared" si="3"/>
        <v>40031</v>
      </c>
      <c r="D228" s="106">
        <v>12.853400000000001</v>
      </c>
      <c r="E228" s="106">
        <v>30.5</v>
      </c>
      <c r="F228" s="106">
        <v>22.5</v>
      </c>
      <c r="G228" s="106">
        <v>0</v>
      </c>
      <c r="H228" s="120">
        <v>120.96</v>
      </c>
      <c r="I228" s="120">
        <v>67</v>
      </c>
      <c r="L228" s="22">
        <v>2009</v>
      </c>
      <c r="M228" s="22">
        <v>218</v>
      </c>
    </row>
    <row r="229" spans="2:13" s="22" customFormat="1" x14ac:dyDescent="0.3">
      <c r="B229" s="42">
        <f t="shared" si="3"/>
        <v>40032</v>
      </c>
      <c r="D229" s="106">
        <v>11.6707</v>
      </c>
      <c r="E229" s="106">
        <v>29</v>
      </c>
      <c r="F229" s="106">
        <v>22.5</v>
      </c>
      <c r="G229" s="106">
        <v>0</v>
      </c>
      <c r="H229" s="120">
        <v>103.68</v>
      </c>
      <c r="I229" s="120">
        <v>72</v>
      </c>
      <c r="L229" s="22">
        <v>2009</v>
      </c>
      <c r="M229" s="22">
        <v>219</v>
      </c>
    </row>
    <row r="230" spans="2:13" s="22" customFormat="1" x14ac:dyDescent="0.3">
      <c r="B230" s="42">
        <f t="shared" si="3"/>
        <v>40033</v>
      </c>
      <c r="D230" s="106">
        <v>21.4544</v>
      </c>
      <c r="E230" s="106">
        <v>30.25</v>
      </c>
      <c r="F230" s="106">
        <v>22</v>
      </c>
      <c r="G230" s="106">
        <v>0</v>
      </c>
      <c r="H230" s="120">
        <v>164.16</v>
      </c>
      <c r="I230" s="120">
        <v>67</v>
      </c>
      <c r="L230" s="22">
        <v>2009</v>
      </c>
      <c r="M230" s="22">
        <v>220</v>
      </c>
    </row>
    <row r="231" spans="2:13" s="22" customFormat="1" x14ac:dyDescent="0.3">
      <c r="B231" s="42">
        <f t="shared" si="3"/>
        <v>40034</v>
      </c>
      <c r="D231" s="106">
        <v>14.0641</v>
      </c>
      <c r="E231" s="106">
        <v>30.75</v>
      </c>
      <c r="F231" s="106">
        <v>21.25</v>
      </c>
      <c r="G231" s="106">
        <v>16</v>
      </c>
      <c r="H231" s="120">
        <v>112.32</v>
      </c>
      <c r="I231" s="120">
        <v>71</v>
      </c>
      <c r="L231" s="22">
        <v>2009</v>
      </c>
      <c r="M231" s="22">
        <v>221</v>
      </c>
    </row>
    <row r="232" spans="2:13" s="22" customFormat="1" x14ac:dyDescent="0.3">
      <c r="B232" s="42">
        <f t="shared" si="3"/>
        <v>40035</v>
      </c>
      <c r="D232" s="106">
        <v>21.746400000000001</v>
      </c>
      <c r="E232" s="106">
        <v>30</v>
      </c>
      <c r="F232" s="106">
        <v>20.5</v>
      </c>
      <c r="G232" s="106">
        <v>0</v>
      </c>
      <c r="H232" s="120">
        <v>77.760000000000005</v>
      </c>
      <c r="I232" s="120">
        <v>56</v>
      </c>
      <c r="L232" s="22">
        <v>2009</v>
      </c>
      <c r="M232" s="22">
        <v>222</v>
      </c>
    </row>
    <row r="233" spans="2:13" s="22" customFormat="1" x14ac:dyDescent="0.3">
      <c r="B233" s="42">
        <f t="shared" si="3"/>
        <v>40036</v>
      </c>
      <c r="D233" s="106">
        <v>18.718299999999999</v>
      </c>
      <c r="E233" s="106">
        <v>35</v>
      </c>
      <c r="F233" s="106">
        <v>20.75</v>
      </c>
      <c r="G233" s="106">
        <v>0</v>
      </c>
      <c r="H233" s="120">
        <v>77.760000000000005</v>
      </c>
      <c r="I233" s="120">
        <v>64</v>
      </c>
      <c r="L233" s="22">
        <v>2009</v>
      </c>
      <c r="M233" s="22">
        <v>223</v>
      </c>
    </row>
    <row r="234" spans="2:13" s="22" customFormat="1" x14ac:dyDescent="0.3">
      <c r="B234" s="42">
        <f t="shared" si="3"/>
        <v>40037</v>
      </c>
      <c r="D234" s="106">
        <v>18.734200000000001</v>
      </c>
      <c r="E234" s="106">
        <v>33.75</v>
      </c>
      <c r="F234" s="106">
        <v>22.5</v>
      </c>
      <c r="G234" s="106">
        <v>17</v>
      </c>
      <c r="H234" s="120">
        <v>181.44</v>
      </c>
      <c r="I234" s="120">
        <v>60</v>
      </c>
      <c r="L234" s="22">
        <v>2009</v>
      </c>
      <c r="M234" s="22">
        <v>224</v>
      </c>
    </row>
    <row r="235" spans="2:13" s="22" customFormat="1" x14ac:dyDescent="0.3">
      <c r="B235" s="42">
        <f t="shared" ref="B235:B298" si="4">DATE(L235-1,12,31)+M235</f>
        <v>40038</v>
      </c>
      <c r="D235" s="106">
        <v>14.376200000000001</v>
      </c>
      <c r="E235" s="106">
        <v>31</v>
      </c>
      <c r="F235" s="106">
        <v>20</v>
      </c>
      <c r="G235" s="106">
        <v>0</v>
      </c>
      <c r="H235" s="120">
        <v>216</v>
      </c>
      <c r="I235" s="120">
        <v>61</v>
      </c>
      <c r="L235" s="22">
        <v>2009</v>
      </c>
      <c r="M235" s="22">
        <v>225</v>
      </c>
    </row>
    <row r="236" spans="2:13" s="22" customFormat="1" x14ac:dyDescent="0.3">
      <c r="B236" s="42">
        <f t="shared" si="4"/>
        <v>40039</v>
      </c>
      <c r="D236" s="106">
        <v>12.2319</v>
      </c>
      <c r="E236" s="106">
        <v>29.25</v>
      </c>
      <c r="F236" s="106">
        <v>21.2</v>
      </c>
      <c r="G236" s="106">
        <v>7</v>
      </c>
      <c r="H236" s="120">
        <v>112.32</v>
      </c>
      <c r="I236" s="120">
        <v>60</v>
      </c>
      <c r="L236" s="22">
        <v>2009</v>
      </c>
      <c r="M236" s="22">
        <v>226</v>
      </c>
    </row>
    <row r="237" spans="2:13" s="22" customFormat="1" x14ac:dyDescent="0.3">
      <c r="B237" s="42">
        <f t="shared" si="4"/>
        <v>40040</v>
      </c>
      <c r="D237" s="106">
        <v>11.183</v>
      </c>
      <c r="E237" s="106">
        <v>30.25</v>
      </c>
      <c r="F237" s="106">
        <v>21</v>
      </c>
      <c r="G237" s="106">
        <v>0</v>
      </c>
      <c r="H237" s="120">
        <v>138.24</v>
      </c>
      <c r="I237" s="120">
        <v>65</v>
      </c>
      <c r="L237" s="22">
        <v>2009</v>
      </c>
      <c r="M237" s="22">
        <v>227</v>
      </c>
    </row>
    <row r="238" spans="2:13" s="22" customFormat="1" x14ac:dyDescent="0.3">
      <c r="B238" s="42">
        <f t="shared" si="4"/>
        <v>40041</v>
      </c>
      <c r="D238" s="106">
        <v>17.293099999999999</v>
      </c>
      <c r="E238" s="106">
        <v>31.5</v>
      </c>
      <c r="F238" s="106">
        <v>21</v>
      </c>
      <c r="G238" s="106">
        <v>5</v>
      </c>
      <c r="H238" s="120">
        <v>95.04</v>
      </c>
      <c r="I238" s="120">
        <v>67</v>
      </c>
      <c r="L238" s="22">
        <v>2009</v>
      </c>
      <c r="M238" s="22">
        <v>228</v>
      </c>
    </row>
    <row r="239" spans="2:13" s="22" customFormat="1" x14ac:dyDescent="0.3">
      <c r="B239" s="42">
        <f t="shared" si="4"/>
        <v>40042</v>
      </c>
      <c r="D239" s="106">
        <v>12.716799999999999</v>
      </c>
      <c r="E239" s="106">
        <v>30.5</v>
      </c>
      <c r="F239" s="106">
        <v>20.45</v>
      </c>
      <c r="G239" s="106">
        <v>0</v>
      </c>
      <c r="H239" s="120">
        <v>103.68</v>
      </c>
      <c r="I239" s="120">
        <v>57</v>
      </c>
      <c r="L239" s="22">
        <v>2009</v>
      </c>
      <c r="M239" s="22">
        <v>229</v>
      </c>
    </row>
    <row r="240" spans="2:13" s="22" customFormat="1" x14ac:dyDescent="0.3">
      <c r="B240" s="42">
        <f t="shared" si="4"/>
        <v>40043</v>
      </c>
      <c r="D240" s="106">
        <v>17.0778</v>
      </c>
      <c r="E240" s="106">
        <v>30.25</v>
      </c>
      <c r="F240" s="106">
        <v>20.75</v>
      </c>
      <c r="G240" s="106">
        <v>15</v>
      </c>
      <c r="H240" s="120">
        <v>95.04</v>
      </c>
      <c r="I240" s="120">
        <v>62</v>
      </c>
      <c r="L240" s="22">
        <v>2009</v>
      </c>
      <c r="M240" s="22">
        <v>230</v>
      </c>
    </row>
    <row r="241" spans="2:13" s="22" customFormat="1" x14ac:dyDescent="0.3">
      <c r="B241" s="42">
        <f t="shared" si="4"/>
        <v>40044</v>
      </c>
      <c r="D241" s="106">
        <v>21.575399999999998</v>
      </c>
      <c r="E241" s="106">
        <v>31</v>
      </c>
      <c r="F241" s="106">
        <v>20.25</v>
      </c>
      <c r="G241" s="106">
        <v>0</v>
      </c>
      <c r="H241" s="120">
        <v>60.48</v>
      </c>
      <c r="I241" s="120">
        <v>67</v>
      </c>
      <c r="L241" s="22">
        <v>2009</v>
      </c>
      <c r="M241" s="22">
        <v>231</v>
      </c>
    </row>
    <row r="242" spans="2:13" s="22" customFormat="1" x14ac:dyDescent="0.3">
      <c r="B242" s="42">
        <f t="shared" si="4"/>
        <v>40045</v>
      </c>
      <c r="D242" s="106">
        <v>19.208300000000001</v>
      </c>
      <c r="E242" s="106">
        <v>30.75</v>
      </c>
      <c r="F242" s="106">
        <v>21.6</v>
      </c>
      <c r="G242" s="106">
        <v>0</v>
      </c>
      <c r="H242" s="120">
        <v>155.52000000000001</v>
      </c>
      <c r="I242" s="120">
        <v>63</v>
      </c>
      <c r="L242" s="22">
        <v>2009</v>
      </c>
      <c r="M242" s="22">
        <v>232</v>
      </c>
    </row>
    <row r="243" spans="2:13" s="22" customFormat="1" x14ac:dyDescent="0.3">
      <c r="B243" s="42">
        <f t="shared" si="4"/>
        <v>40046</v>
      </c>
      <c r="D243" s="106">
        <v>11.0235</v>
      </c>
      <c r="E243" s="106">
        <v>31</v>
      </c>
      <c r="F243" s="106">
        <v>21.75</v>
      </c>
      <c r="G243" s="106">
        <v>14</v>
      </c>
      <c r="H243" s="120">
        <v>146.88</v>
      </c>
      <c r="I243" s="120">
        <v>65</v>
      </c>
      <c r="L243" s="22">
        <v>2009</v>
      </c>
      <c r="M243" s="22">
        <v>233</v>
      </c>
    </row>
    <row r="244" spans="2:13" s="22" customFormat="1" x14ac:dyDescent="0.3">
      <c r="B244" s="42">
        <f t="shared" si="4"/>
        <v>40047</v>
      </c>
      <c r="D244" s="106">
        <v>18.703900000000001</v>
      </c>
      <c r="E244" s="106">
        <v>30.75</v>
      </c>
      <c r="F244" s="106">
        <v>21.5</v>
      </c>
      <c r="G244" s="106">
        <v>0</v>
      </c>
      <c r="H244" s="120">
        <v>112.32</v>
      </c>
      <c r="I244" s="120">
        <v>69</v>
      </c>
      <c r="L244" s="22">
        <v>2009</v>
      </c>
      <c r="M244" s="22">
        <v>234</v>
      </c>
    </row>
    <row r="245" spans="2:13" s="22" customFormat="1" x14ac:dyDescent="0.3">
      <c r="B245" s="42">
        <f t="shared" si="4"/>
        <v>40048</v>
      </c>
      <c r="D245" s="106">
        <v>20.968699999999998</v>
      </c>
      <c r="E245" s="106">
        <v>30.75</v>
      </c>
      <c r="F245" s="106">
        <v>19.5</v>
      </c>
      <c r="G245" s="106">
        <v>28</v>
      </c>
      <c r="H245" s="120">
        <v>95.04</v>
      </c>
      <c r="I245" s="120">
        <v>71</v>
      </c>
      <c r="L245" s="22">
        <v>2009</v>
      </c>
      <c r="M245" s="22">
        <v>235</v>
      </c>
    </row>
    <row r="246" spans="2:13" s="22" customFormat="1" x14ac:dyDescent="0.3">
      <c r="B246" s="42">
        <f t="shared" si="4"/>
        <v>40049</v>
      </c>
      <c r="D246" s="106">
        <v>19.794</v>
      </c>
      <c r="E246" s="106">
        <v>30.95</v>
      </c>
      <c r="F246" s="106">
        <v>19</v>
      </c>
      <c r="G246" s="106">
        <v>0</v>
      </c>
      <c r="H246" s="120">
        <v>138.24</v>
      </c>
      <c r="I246" s="120">
        <v>64</v>
      </c>
      <c r="L246" s="22">
        <v>2009</v>
      </c>
      <c r="M246" s="22">
        <v>236</v>
      </c>
    </row>
    <row r="247" spans="2:13" s="22" customFormat="1" x14ac:dyDescent="0.3">
      <c r="B247" s="42">
        <f t="shared" si="4"/>
        <v>40050</v>
      </c>
      <c r="D247" s="106">
        <v>21.138300000000001</v>
      </c>
      <c r="E247" s="106">
        <v>30.95</v>
      </c>
      <c r="F247" s="106">
        <v>22</v>
      </c>
      <c r="G247" s="106">
        <v>0</v>
      </c>
      <c r="H247" s="120">
        <v>172.8</v>
      </c>
      <c r="I247" s="120">
        <v>67</v>
      </c>
      <c r="L247" s="22">
        <v>2009</v>
      </c>
      <c r="M247" s="22">
        <v>237</v>
      </c>
    </row>
    <row r="248" spans="2:13" s="22" customFormat="1" x14ac:dyDescent="0.3">
      <c r="B248" s="42">
        <f t="shared" si="4"/>
        <v>40051</v>
      </c>
      <c r="D248" s="106">
        <v>12.716799999999999</v>
      </c>
      <c r="E248" s="106">
        <v>30</v>
      </c>
      <c r="F248" s="106">
        <v>22</v>
      </c>
      <c r="G248" s="106">
        <v>0</v>
      </c>
      <c r="H248" s="120">
        <v>8.64</v>
      </c>
      <c r="I248" s="120">
        <v>67</v>
      </c>
      <c r="L248" s="22">
        <v>2009</v>
      </c>
      <c r="M248" s="22">
        <v>238</v>
      </c>
    </row>
    <row r="249" spans="2:13" s="22" customFormat="1" x14ac:dyDescent="0.3">
      <c r="B249" s="42">
        <f t="shared" si="4"/>
        <v>40052</v>
      </c>
      <c r="D249" s="106">
        <v>20.378</v>
      </c>
      <c r="E249" s="106">
        <v>30.5</v>
      </c>
      <c r="F249" s="106">
        <v>21.75</v>
      </c>
      <c r="G249" s="106">
        <v>0</v>
      </c>
      <c r="H249" s="120">
        <v>77.760000000000005</v>
      </c>
      <c r="I249" s="120">
        <v>67</v>
      </c>
      <c r="L249" s="22">
        <v>2009</v>
      </c>
      <c r="M249" s="22">
        <v>239</v>
      </c>
    </row>
    <row r="250" spans="2:13" s="22" customFormat="1" x14ac:dyDescent="0.3">
      <c r="B250" s="42">
        <f t="shared" si="4"/>
        <v>40053</v>
      </c>
      <c r="D250" s="106">
        <v>21.7075</v>
      </c>
      <c r="E250" s="106">
        <v>34.25</v>
      </c>
      <c r="F250" s="106">
        <v>22.5</v>
      </c>
      <c r="G250" s="106">
        <v>9</v>
      </c>
      <c r="H250" s="120">
        <v>146.88</v>
      </c>
      <c r="I250" s="120">
        <v>66</v>
      </c>
      <c r="L250" s="22">
        <v>2009</v>
      </c>
      <c r="M250" s="22">
        <v>240</v>
      </c>
    </row>
    <row r="251" spans="2:13" s="22" customFormat="1" x14ac:dyDescent="0.3">
      <c r="B251" s="42">
        <f t="shared" si="4"/>
        <v>40054</v>
      </c>
      <c r="D251" s="106">
        <v>10.0915</v>
      </c>
      <c r="E251" s="106">
        <v>31.25</v>
      </c>
      <c r="F251" s="106">
        <v>20</v>
      </c>
      <c r="G251" s="106">
        <v>9</v>
      </c>
      <c r="H251" s="120">
        <v>155.52000000000001</v>
      </c>
      <c r="I251" s="120">
        <v>70</v>
      </c>
      <c r="L251" s="22">
        <v>2009</v>
      </c>
      <c r="M251" s="22">
        <v>241</v>
      </c>
    </row>
    <row r="252" spans="2:13" s="22" customFormat="1" x14ac:dyDescent="0.3">
      <c r="B252" s="42">
        <f t="shared" si="4"/>
        <v>40055</v>
      </c>
      <c r="D252" s="106">
        <v>22.2605</v>
      </c>
      <c r="E252" s="106">
        <v>28.5</v>
      </c>
      <c r="F252" s="106">
        <v>21</v>
      </c>
      <c r="G252" s="106">
        <v>7</v>
      </c>
      <c r="H252" s="120">
        <v>112.32</v>
      </c>
      <c r="I252" s="120">
        <v>68</v>
      </c>
      <c r="L252" s="22">
        <v>2009</v>
      </c>
      <c r="M252" s="22">
        <v>242</v>
      </c>
    </row>
    <row r="253" spans="2:13" s="22" customFormat="1" x14ac:dyDescent="0.3">
      <c r="B253" s="42">
        <f t="shared" si="4"/>
        <v>40056</v>
      </c>
      <c r="D253" s="106">
        <v>20.688099999999999</v>
      </c>
      <c r="E253" s="106">
        <v>29.3</v>
      </c>
      <c r="F253" s="106">
        <v>20.25</v>
      </c>
      <c r="G253" s="106">
        <v>0</v>
      </c>
      <c r="H253" s="120">
        <v>146.88</v>
      </c>
      <c r="I253" s="120">
        <v>66</v>
      </c>
      <c r="L253" s="22">
        <v>2009</v>
      </c>
      <c r="M253" s="22">
        <v>243</v>
      </c>
    </row>
    <row r="254" spans="2:13" s="22" customFormat="1" x14ac:dyDescent="0.3">
      <c r="B254" s="42">
        <f t="shared" si="4"/>
        <v>40057</v>
      </c>
      <c r="D254" s="106">
        <v>11.702400000000001</v>
      </c>
      <c r="E254" s="106">
        <v>29.75</v>
      </c>
      <c r="F254" s="106">
        <v>20.75</v>
      </c>
      <c r="G254" s="106">
        <v>39</v>
      </c>
      <c r="H254" s="120">
        <v>112.32</v>
      </c>
      <c r="I254" s="120">
        <v>72</v>
      </c>
      <c r="L254" s="22">
        <v>2009</v>
      </c>
      <c r="M254" s="22">
        <v>244</v>
      </c>
    </row>
    <row r="255" spans="2:13" s="22" customFormat="1" x14ac:dyDescent="0.3">
      <c r="B255" s="42">
        <f t="shared" si="4"/>
        <v>40058</v>
      </c>
      <c r="D255" s="106">
        <v>12.7727</v>
      </c>
      <c r="E255" s="106">
        <v>29.55</v>
      </c>
      <c r="F255" s="106">
        <v>21.5</v>
      </c>
      <c r="G255" s="106">
        <v>0</v>
      </c>
      <c r="H255" s="120">
        <v>77.760000000000005</v>
      </c>
      <c r="I255" s="120">
        <v>76</v>
      </c>
      <c r="L255" s="22">
        <v>2009</v>
      </c>
      <c r="M255" s="22">
        <v>245</v>
      </c>
    </row>
    <row r="256" spans="2:13" s="22" customFormat="1" x14ac:dyDescent="0.3">
      <c r="B256" s="42">
        <f t="shared" si="4"/>
        <v>40059</v>
      </c>
      <c r="D256" s="106">
        <v>20.210100000000001</v>
      </c>
      <c r="E256" s="106">
        <v>29.75</v>
      </c>
      <c r="F256" s="106">
        <v>21.75</v>
      </c>
      <c r="G256" s="106">
        <v>2</v>
      </c>
      <c r="H256" s="120">
        <v>224.64</v>
      </c>
      <c r="I256" s="120">
        <v>69</v>
      </c>
      <c r="L256" s="22">
        <v>2009</v>
      </c>
      <c r="M256" s="22">
        <v>246</v>
      </c>
    </row>
    <row r="257" spans="2:13" s="22" customFormat="1" x14ac:dyDescent="0.3">
      <c r="B257" s="42">
        <f t="shared" si="4"/>
        <v>40060</v>
      </c>
      <c r="D257" s="106">
        <v>7.5987499999999999</v>
      </c>
      <c r="E257" s="106">
        <v>28.75</v>
      </c>
      <c r="F257" s="106">
        <v>20</v>
      </c>
      <c r="G257" s="106">
        <v>3</v>
      </c>
      <c r="H257" s="120">
        <v>77.760000000000005</v>
      </c>
      <c r="I257" s="120">
        <v>83</v>
      </c>
      <c r="L257" s="22">
        <v>2009</v>
      </c>
      <c r="M257" s="22">
        <v>247</v>
      </c>
    </row>
    <row r="258" spans="2:13" s="22" customFormat="1" x14ac:dyDescent="0.3">
      <c r="B258" s="42">
        <f t="shared" si="4"/>
        <v>40061</v>
      </c>
      <c r="D258" s="106">
        <v>18.601700000000001</v>
      </c>
      <c r="E258" s="106">
        <v>29</v>
      </c>
      <c r="F258" s="106">
        <v>20.55</v>
      </c>
      <c r="G258" s="106">
        <v>0</v>
      </c>
      <c r="H258" s="120">
        <v>103.68</v>
      </c>
      <c r="I258" s="120">
        <v>70</v>
      </c>
      <c r="L258" s="22">
        <v>2009</v>
      </c>
      <c r="M258" s="22">
        <v>248</v>
      </c>
    </row>
    <row r="259" spans="2:13" s="22" customFormat="1" x14ac:dyDescent="0.3">
      <c r="B259" s="42">
        <f t="shared" si="4"/>
        <v>40062</v>
      </c>
      <c r="D259" s="106">
        <v>10.1333</v>
      </c>
      <c r="E259" s="106">
        <v>28.05</v>
      </c>
      <c r="F259" s="106">
        <v>20.75</v>
      </c>
      <c r="G259" s="106">
        <v>15</v>
      </c>
      <c r="H259" s="120">
        <v>77.760000000000005</v>
      </c>
      <c r="I259" s="120">
        <v>74</v>
      </c>
      <c r="L259" s="22">
        <v>2009</v>
      </c>
      <c r="M259" s="22">
        <v>249</v>
      </c>
    </row>
    <row r="260" spans="2:13" s="22" customFormat="1" x14ac:dyDescent="0.3">
      <c r="B260" s="42">
        <f t="shared" si="4"/>
        <v>40063</v>
      </c>
      <c r="D260" s="106">
        <v>11.3971</v>
      </c>
      <c r="E260" s="106">
        <v>26</v>
      </c>
      <c r="F260" s="106">
        <v>21.3</v>
      </c>
      <c r="G260" s="106">
        <v>28</v>
      </c>
      <c r="H260" s="120">
        <v>120.96</v>
      </c>
      <c r="I260" s="120">
        <v>75</v>
      </c>
      <c r="L260" s="22">
        <v>2009</v>
      </c>
      <c r="M260" s="22">
        <v>250</v>
      </c>
    </row>
    <row r="261" spans="2:13" s="22" customFormat="1" x14ac:dyDescent="0.3">
      <c r="B261" s="42">
        <f t="shared" si="4"/>
        <v>40064</v>
      </c>
      <c r="D261" s="106">
        <v>13.513500000000001</v>
      </c>
      <c r="E261" s="106">
        <v>28.75</v>
      </c>
      <c r="F261" s="106">
        <v>19.75</v>
      </c>
      <c r="G261" s="106">
        <v>0</v>
      </c>
      <c r="H261" s="120">
        <v>146.88</v>
      </c>
      <c r="I261" s="120">
        <v>65</v>
      </c>
      <c r="L261" s="22">
        <v>2009</v>
      </c>
      <c r="M261" s="22">
        <v>251</v>
      </c>
    </row>
    <row r="262" spans="2:13" s="22" customFormat="1" x14ac:dyDescent="0.3">
      <c r="B262" s="42">
        <f t="shared" si="4"/>
        <v>40065</v>
      </c>
      <c r="D262" s="106">
        <v>21.4434</v>
      </c>
      <c r="E262" s="106">
        <v>32.25</v>
      </c>
      <c r="F262" s="106">
        <v>21</v>
      </c>
      <c r="G262" s="106">
        <v>0</v>
      </c>
      <c r="H262" s="120">
        <v>95.04</v>
      </c>
      <c r="I262" s="120">
        <v>66</v>
      </c>
      <c r="L262" s="22">
        <v>2009</v>
      </c>
      <c r="M262" s="22">
        <v>252</v>
      </c>
    </row>
    <row r="263" spans="2:13" s="22" customFormat="1" x14ac:dyDescent="0.3">
      <c r="B263" s="42">
        <f t="shared" si="4"/>
        <v>40066</v>
      </c>
      <c r="D263" s="106">
        <v>18.547599999999999</v>
      </c>
      <c r="E263" s="106">
        <v>32.25</v>
      </c>
      <c r="F263" s="106">
        <v>20.75</v>
      </c>
      <c r="G263" s="106">
        <v>0</v>
      </c>
      <c r="H263" s="120">
        <v>25.92</v>
      </c>
      <c r="I263" s="120">
        <v>72</v>
      </c>
      <c r="L263" s="22">
        <v>2009</v>
      </c>
      <c r="M263" s="22">
        <v>253</v>
      </c>
    </row>
    <row r="264" spans="2:13" s="22" customFormat="1" x14ac:dyDescent="0.3">
      <c r="B264" s="42">
        <f t="shared" si="4"/>
        <v>40067</v>
      </c>
      <c r="D264" s="106">
        <v>9.9658800000000003</v>
      </c>
      <c r="E264" s="106">
        <v>30.25</v>
      </c>
      <c r="F264" s="106">
        <v>21</v>
      </c>
      <c r="G264" s="106">
        <v>0</v>
      </c>
      <c r="H264" s="120">
        <v>77.760000000000005</v>
      </c>
      <c r="I264" s="120">
        <v>74</v>
      </c>
      <c r="L264" s="22">
        <v>2009</v>
      </c>
      <c r="M264" s="22">
        <v>254</v>
      </c>
    </row>
    <row r="265" spans="2:13" s="22" customFormat="1" x14ac:dyDescent="0.3">
      <c r="B265" s="42">
        <f t="shared" si="4"/>
        <v>40068</v>
      </c>
      <c r="D265" s="106">
        <v>13.8094</v>
      </c>
      <c r="E265" s="106">
        <v>29.5</v>
      </c>
      <c r="F265" s="106">
        <v>21.25</v>
      </c>
      <c r="G265" s="106">
        <v>12</v>
      </c>
      <c r="H265" s="120">
        <v>77.760000000000005</v>
      </c>
      <c r="I265" s="120">
        <v>72</v>
      </c>
      <c r="L265" s="22">
        <v>2009</v>
      </c>
      <c r="M265" s="22">
        <v>255</v>
      </c>
    </row>
    <row r="266" spans="2:13" s="22" customFormat="1" x14ac:dyDescent="0.3">
      <c r="B266" s="42">
        <f t="shared" si="4"/>
        <v>40069</v>
      </c>
      <c r="D266" s="106">
        <v>19.512499999999999</v>
      </c>
      <c r="E266" s="106">
        <v>31.75</v>
      </c>
      <c r="F266" s="106">
        <v>19.5</v>
      </c>
      <c r="G266" s="106">
        <v>19</v>
      </c>
      <c r="H266" s="120">
        <v>120.96</v>
      </c>
      <c r="I266" s="120">
        <v>75</v>
      </c>
      <c r="L266" s="22">
        <v>2009</v>
      </c>
      <c r="M266" s="22">
        <v>256</v>
      </c>
    </row>
    <row r="267" spans="2:13" s="22" customFormat="1" x14ac:dyDescent="0.3">
      <c r="B267" s="42">
        <f t="shared" si="4"/>
        <v>40070</v>
      </c>
      <c r="D267" s="106">
        <v>14.0975</v>
      </c>
      <c r="E267" s="106">
        <v>32</v>
      </c>
      <c r="F267" s="106">
        <v>20.5</v>
      </c>
      <c r="G267" s="106">
        <v>0</v>
      </c>
      <c r="H267" s="120">
        <v>86.4</v>
      </c>
      <c r="I267" s="120">
        <v>60</v>
      </c>
      <c r="L267" s="22">
        <v>2009</v>
      </c>
      <c r="M267" s="22">
        <v>257</v>
      </c>
    </row>
    <row r="268" spans="2:13" s="22" customFormat="1" x14ac:dyDescent="0.3">
      <c r="B268" s="42">
        <f t="shared" si="4"/>
        <v>40071</v>
      </c>
      <c r="D268" s="106">
        <v>18.353899999999999</v>
      </c>
      <c r="E268" s="106">
        <v>31</v>
      </c>
      <c r="F268" s="106">
        <v>22.5</v>
      </c>
      <c r="G268" s="106">
        <v>34</v>
      </c>
      <c r="H268" s="120">
        <v>155.52000000000001</v>
      </c>
      <c r="I268" s="120">
        <v>69</v>
      </c>
      <c r="L268" s="22">
        <v>2009</v>
      </c>
      <c r="M268" s="22">
        <v>258</v>
      </c>
    </row>
    <row r="269" spans="2:13" s="22" customFormat="1" x14ac:dyDescent="0.3">
      <c r="B269" s="42">
        <f t="shared" si="4"/>
        <v>40072</v>
      </c>
      <c r="D269" s="106">
        <v>16.939699999999998</v>
      </c>
      <c r="E269" s="106">
        <v>31.45</v>
      </c>
      <c r="F269" s="106">
        <v>19.5</v>
      </c>
      <c r="G269" s="106">
        <v>0</v>
      </c>
      <c r="H269" s="120">
        <v>138.24</v>
      </c>
      <c r="I269" s="120">
        <v>63</v>
      </c>
      <c r="L269" s="22">
        <v>2009</v>
      </c>
      <c r="M269" s="22">
        <v>259</v>
      </c>
    </row>
    <row r="270" spans="2:13" s="22" customFormat="1" x14ac:dyDescent="0.3">
      <c r="B270" s="42">
        <f t="shared" si="4"/>
        <v>40073</v>
      </c>
      <c r="D270" s="106">
        <v>11.401300000000001</v>
      </c>
      <c r="E270" s="106">
        <v>29.75</v>
      </c>
      <c r="F270" s="106">
        <v>21.5</v>
      </c>
      <c r="G270" s="106">
        <v>0</v>
      </c>
      <c r="H270" s="120">
        <v>129.6</v>
      </c>
      <c r="I270" s="120">
        <v>70</v>
      </c>
      <c r="L270" s="22">
        <v>2009</v>
      </c>
      <c r="M270" s="22">
        <v>260</v>
      </c>
    </row>
    <row r="271" spans="2:13" s="22" customFormat="1" x14ac:dyDescent="0.3">
      <c r="B271" s="42">
        <f t="shared" si="4"/>
        <v>40074</v>
      </c>
      <c r="D271" s="106">
        <v>16.821200000000001</v>
      </c>
      <c r="E271" s="106">
        <v>30.7</v>
      </c>
      <c r="F271" s="106">
        <v>20.5</v>
      </c>
      <c r="G271" s="106">
        <v>0</v>
      </c>
      <c r="H271" s="120">
        <v>69.12</v>
      </c>
      <c r="I271" s="120">
        <v>63</v>
      </c>
      <c r="L271" s="22">
        <v>2009</v>
      </c>
      <c r="M271" s="22">
        <v>261</v>
      </c>
    </row>
    <row r="272" spans="2:13" s="22" customFormat="1" x14ac:dyDescent="0.3">
      <c r="B272" s="42">
        <f t="shared" si="4"/>
        <v>40075</v>
      </c>
      <c r="D272" s="106">
        <v>20.6617</v>
      </c>
      <c r="E272" s="106">
        <v>32.5</v>
      </c>
      <c r="F272" s="106">
        <v>23.5</v>
      </c>
      <c r="G272" s="106">
        <v>11</v>
      </c>
      <c r="H272" s="120">
        <v>155.52000000000001</v>
      </c>
      <c r="I272" s="120">
        <v>72</v>
      </c>
      <c r="L272" s="22">
        <v>2009</v>
      </c>
      <c r="M272" s="22">
        <v>262</v>
      </c>
    </row>
    <row r="273" spans="2:13" s="22" customFormat="1" x14ac:dyDescent="0.3">
      <c r="B273" s="42">
        <f t="shared" si="4"/>
        <v>40076</v>
      </c>
      <c r="D273" s="106">
        <v>13.4031</v>
      </c>
      <c r="E273" s="106">
        <v>29.25</v>
      </c>
      <c r="F273" s="106">
        <v>19.5</v>
      </c>
      <c r="G273" s="106">
        <v>0</v>
      </c>
      <c r="H273" s="120">
        <v>69.12</v>
      </c>
      <c r="I273" s="120">
        <v>77</v>
      </c>
      <c r="L273" s="22">
        <v>2009</v>
      </c>
      <c r="M273" s="22">
        <v>263</v>
      </c>
    </row>
    <row r="274" spans="2:13" s="22" customFormat="1" x14ac:dyDescent="0.3">
      <c r="B274" s="42">
        <f t="shared" si="4"/>
        <v>40077</v>
      </c>
      <c r="D274" s="106">
        <v>10.7669</v>
      </c>
      <c r="E274" s="106">
        <v>31.25</v>
      </c>
      <c r="F274" s="106">
        <v>22.25</v>
      </c>
      <c r="G274" s="106">
        <v>6</v>
      </c>
      <c r="H274" s="120">
        <v>103.68</v>
      </c>
      <c r="I274" s="120">
        <v>67</v>
      </c>
      <c r="L274" s="22">
        <v>2009</v>
      </c>
      <c r="M274" s="22">
        <v>264</v>
      </c>
    </row>
    <row r="275" spans="2:13" s="22" customFormat="1" x14ac:dyDescent="0.3">
      <c r="B275" s="42">
        <f t="shared" si="4"/>
        <v>40078</v>
      </c>
      <c r="D275" s="106">
        <v>16.732700000000001</v>
      </c>
      <c r="E275" s="106">
        <v>31</v>
      </c>
      <c r="F275" s="106">
        <v>21</v>
      </c>
      <c r="G275" s="106">
        <v>0</v>
      </c>
      <c r="H275" s="120">
        <v>129.6</v>
      </c>
      <c r="I275" s="120">
        <v>66</v>
      </c>
      <c r="L275" s="22">
        <v>2009</v>
      </c>
      <c r="M275" s="22">
        <v>265</v>
      </c>
    </row>
    <row r="276" spans="2:13" s="22" customFormat="1" x14ac:dyDescent="0.3">
      <c r="B276" s="42">
        <f t="shared" si="4"/>
        <v>40079</v>
      </c>
      <c r="D276" s="106">
        <v>21.251300000000001</v>
      </c>
      <c r="E276" s="106">
        <v>32.549999999999997</v>
      </c>
      <c r="F276" s="106">
        <v>21.2</v>
      </c>
      <c r="G276" s="106">
        <v>0</v>
      </c>
      <c r="H276" s="120">
        <v>77.760000000000005</v>
      </c>
      <c r="I276" s="120">
        <v>67</v>
      </c>
      <c r="L276" s="22">
        <v>2009</v>
      </c>
      <c r="M276" s="22">
        <v>266</v>
      </c>
    </row>
    <row r="277" spans="2:13" s="22" customFormat="1" x14ac:dyDescent="0.3">
      <c r="B277" s="42">
        <f t="shared" si="4"/>
        <v>40080</v>
      </c>
      <c r="D277" s="106">
        <v>15.5695</v>
      </c>
      <c r="E277" s="106">
        <v>33.75</v>
      </c>
      <c r="F277" s="106">
        <v>22</v>
      </c>
      <c r="G277" s="106">
        <v>27</v>
      </c>
      <c r="H277" s="120">
        <v>112.32</v>
      </c>
      <c r="I277" s="120">
        <v>71</v>
      </c>
      <c r="L277" s="22">
        <v>2009</v>
      </c>
      <c r="M277" s="22">
        <v>267</v>
      </c>
    </row>
    <row r="278" spans="2:13" s="22" customFormat="1" x14ac:dyDescent="0.3">
      <c r="B278" s="42">
        <f t="shared" si="4"/>
        <v>40081</v>
      </c>
      <c r="D278" s="106">
        <v>20.968699999999998</v>
      </c>
      <c r="E278" s="106">
        <v>33.75</v>
      </c>
      <c r="F278" s="106">
        <v>19</v>
      </c>
      <c r="G278" s="106">
        <v>19</v>
      </c>
      <c r="H278" s="120">
        <v>164.16</v>
      </c>
      <c r="I278" s="120">
        <v>70</v>
      </c>
      <c r="L278" s="22">
        <v>2009</v>
      </c>
      <c r="M278" s="22">
        <v>268</v>
      </c>
    </row>
    <row r="279" spans="2:13" s="22" customFormat="1" x14ac:dyDescent="0.3">
      <c r="B279" s="42">
        <f t="shared" si="4"/>
        <v>40082</v>
      </c>
      <c r="D279" s="106">
        <v>17.939299999999999</v>
      </c>
      <c r="E279" s="106">
        <v>31.5</v>
      </c>
      <c r="F279" s="106">
        <v>19.5</v>
      </c>
      <c r="G279" s="106">
        <v>0</v>
      </c>
      <c r="H279" s="120">
        <v>95.04</v>
      </c>
      <c r="I279" s="120">
        <v>70</v>
      </c>
      <c r="L279" s="22">
        <v>2009</v>
      </c>
      <c r="M279" s="22">
        <v>269</v>
      </c>
    </row>
    <row r="280" spans="2:13" s="22" customFormat="1" x14ac:dyDescent="0.3">
      <c r="B280" s="42">
        <f t="shared" si="4"/>
        <v>40083</v>
      </c>
      <c r="D280" s="106">
        <v>20.873100000000001</v>
      </c>
      <c r="E280" s="106">
        <v>31.75</v>
      </c>
      <c r="F280" s="106">
        <v>21</v>
      </c>
      <c r="G280" s="106">
        <v>0</v>
      </c>
      <c r="H280" s="120">
        <v>138.24</v>
      </c>
      <c r="I280" s="120">
        <v>63</v>
      </c>
      <c r="L280" s="22">
        <v>2009</v>
      </c>
      <c r="M280" s="22">
        <v>270</v>
      </c>
    </row>
    <row r="281" spans="2:13" s="22" customFormat="1" x14ac:dyDescent="0.3">
      <c r="B281" s="42">
        <f t="shared" si="4"/>
        <v>40084</v>
      </c>
      <c r="D281" s="106">
        <v>21.162700000000001</v>
      </c>
      <c r="E281" s="106">
        <v>36.75</v>
      </c>
      <c r="F281" s="106">
        <v>22</v>
      </c>
      <c r="G281" s="106">
        <v>0</v>
      </c>
      <c r="H281" s="120">
        <v>86.4</v>
      </c>
      <c r="I281" s="120">
        <v>60</v>
      </c>
      <c r="L281" s="22">
        <v>2009</v>
      </c>
      <c r="M281" s="22">
        <v>271</v>
      </c>
    </row>
    <row r="282" spans="2:13" s="22" customFormat="1" x14ac:dyDescent="0.3">
      <c r="B282" s="42">
        <f t="shared" si="4"/>
        <v>40085</v>
      </c>
      <c r="D282" s="106">
        <v>18.001799999999999</v>
      </c>
      <c r="E282" s="106">
        <v>34</v>
      </c>
      <c r="F282" s="106">
        <v>21</v>
      </c>
      <c r="G282" s="106">
        <v>0</v>
      </c>
      <c r="H282" s="120">
        <v>129.6</v>
      </c>
      <c r="I282" s="120">
        <v>65</v>
      </c>
      <c r="L282" s="22">
        <v>2009</v>
      </c>
      <c r="M282" s="22">
        <v>272</v>
      </c>
    </row>
    <row r="283" spans="2:13" s="22" customFormat="1" x14ac:dyDescent="0.3">
      <c r="B283" s="42">
        <f t="shared" si="4"/>
        <v>40086</v>
      </c>
      <c r="D283" s="106">
        <v>14.840199999999999</v>
      </c>
      <c r="E283" s="106">
        <v>33.75</v>
      </c>
      <c r="F283" s="106">
        <v>21.25</v>
      </c>
      <c r="G283" s="106">
        <v>5</v>
      </c>
      <c r="H283" s="120">
        <v>103.68</v>
      </c>
      <c r="I283" s="120">
        <v>64</v>
      </c>
      <c r="L283" s="22">
        <v>2009</v>
      </c>
      <c r="M283" s="22">
        <v>273</v>
      </c>
    </row>
    <row r="284" spans="2:13" s="22" customFormat="1" x14ac:dyDescent="0.3">
      <c r="B284" s="42">
        <f t="shared" si="4"/>
        <v>40087</v>
      </c>
      <c r="D284" s="106">
        <v>19.0762</v>
      </c>
      <c r="E284" s="106">
        <v>33.25</v>
      </c>
      <c r="F284" s="106">
        <v>21</v>
      </c>
      <c r="G284" s="106">
        <v>0</v>
      </c>
      <c r="H284" s="120">
        <v>51.84</v>
      </c>
      <c r="I284" s="120">
        <v>52</v>
      </c>
      <c r="L284" s="22">
        <v>2009</v>
      </c>
      <c r="M284" s="22">
        <v>274</v>
      </c>
    </row>
    <row r="285" spans="2:13" s="22" customFormat="1" x14ac:dyDescent="0.3">
      <c r="B285" s="42">
        <f t="shared" si="4"/>
        <v>40088</v>
      </c>
      <c r="D285" s="106">
        <v>18.030100000000001</v>
      </c>
      <c r="E285" s="106">
        <v>33.75</v>
      </c>
      <c r="F285" s="106">
        <v>22.5</v>
      </c>
      <c r="G285" s="106">
        <v>0</v>
      </c>
      <c r="H285" s="120">
        <v>103.68</v>
      </c>
      <c r="I285" s="120">
        <v>66</v>
      </c>
      <c r="L285" s="22">
        <v>2009</v>
      </c>
      <c r="M285" s="22">
        <v>275</v>
      </c>
    </row>
    <row r="286" spans="2:13" s="22" customFormat="1" x14ac:dyDescent="0.3">
      <c r="B286" s="42">
        <f t="shared" si="4"/>
        <v>40089</v>
      </c>
      <c r="D286" s="106">
        <v>17.513400000000001</v>
      </c>
      <c r="E286" s="106">
        <v>34</v>
      </c>
      <c r="F286" s="106">
        <v>20</v>
      </c>
      <c r="G286" s="106">
        <v>2</v>
      </c>
      <c r="H286" s="120">
        <v>77.760000000000005</v>
      </c>
      <c r="I286" s="120">
        <v>63</v>
      </c>
      <c r="L286" s="22">
        <v>2009</v>
      </c>
      <c r="M286" s="22">
        <v>276</v>
      </c>
    </row>
    <row r="287" spans="2:13" s="22" customFormat="1" x14ac:dyDescent="0.3">
      <c r="B287" s="42">
        <f t="shared" si="4"/>
        <v>40090</v>
      </c>
      <c r="D287" s="106">
        <v>20.4392</v>
      </c>
      <c r="E287" s="106">
        <v>34.25</v>
      </c>
      <c r="F287" s="106">
        <v>20.5</v>
      </c>
      <c r="G287" s="106">
        <v>0</v>
      </c>
      <c r="H287" s="120">
        <v>25.92</v>
      </c>
      <c r="I287" s="120">
        <v>61</v>
      </c>
      <c r="L287" s="22">
        <v>2009</v>
      </c>
      <c r="M287" s="22">
        <v>277</v>
      </c>
    </row>
    <row r="288" spans="2:13" s="22" customFormat="1" x14ac:dyDescent="0.3">
      <c r="B288" s="42">
        <f t="shared" si="4"/>
        <v>40091</v>
      </c>
      <c r="D288" s="106">
        <v>20.9863</v>
      </c>
      <c r="E288" s="106">
        <v>35</v>
      </c>
      <c r="F288" s="106">
        <v>20.5</v>
      </c>
      <c r="G288" s="106">
        <v>0</v>
      </c>
      <c r="H288" s="120">
        <v>129.6</v>
      </c>
      <c r="I288" s="120">
        <v>67</v>
      </c>
      <c r="L288" s="22">
        <v>2009</v>
      </c>
      <c r="M288" s="22">
        <v>278</v>
      </c>
    </row>
    <row r="289" spans="2:13" s="22" customFormat="1" x14ac:dyDescent="0.3">
      <c r="B289" s="42">
        <f t="shared" si="4"/>
        <v>40092</v>
      </c>
      <c r="D289" s="106">
        <v>14.111000000000001</v>
      </c>
      <c r="E289" s="106">
        <v>34.5</v>
      </c>
      <c r="F289" s="106">
        <v>21</v>
      </c>
      <c r="G289" s="106">
        <v>17</v>
      </c>
      <c r="H289" s="120">
        <v>155.52000000000001</v>
      </c>
      <c r="I289" s="120">
        <v>51</v>
      </c>
      <c r="L289" s="22">
        <v>2009</v>
      </c>
      <c r="M289" s="22">
        <v>279</v>
      </c>
    </row>
    <row r="290" spans="2:13" s="22" customFormat="1" x14ac:dyDescent="0.3">
      <c r="B290" s="42">
        <f t="shared" si="4"/>
        <v>40093</v>
      </c>
      <c r="D290" s="106">
        <v>18.127400000000002</v>
      </c>
      <c r="E290" s="106">
        <v>34</v>
      </c>
      <c r="F290" s="106">
        <v>18</v>
      </c>
      <c r="G290" s="106">
        <v>0</v>
      </c>
      <c r="H290" s="120">
        <v>86.4</v>
      </c>
      <c r="I290" s="120">
        <v>53</v>
      </c>
      <c r="L290" s="22">
        <v>2009</v>
      </c>
      <c r="M290" s="22">
        <v>280</v>
      </c>
    </row>
    <row r="291" spans="2:13" s="22" customFormat="1" x14ac:dyDescent="0.3">
      <c r="B291" s="42">
        <f t="shared" si="4"/>
        <v>40094</v>
      </c>
      <c r="D291" s="106">
        <v>18.133800000000001</v>
      </c>
      <c r="E291" s="106">
        <v>33.5</v>
      </c>
      <c r="F291" s="106">
        <v>21.5</v>
      </c>
      <c r="G291" s="106">
        <v>0</v>
      </c>
      <c r="H291" s="120">
        <v>164.16</v>
      </c>
      <c r="I291" s="120">
        <v>57</v>
      </c>
      <c r="L291" s="22">
        <v>2009</v>
      </c>
      <c r="M291" s="22">
        <v>281</v>
      </c>
    </row>
    <row r="292" spans="2:13" s="22" customFormat="1" x14ac:dyDescent="0.3">
      <c r="B292" s="42">
        <f t="shared" si="4"/>
        <v>40095</v>
      </c>
      <c r="D292" s="106">
        <v>19.462399999999999</v>
      </c>
      <c r="E292" s="106">
        <v>34</v>
      </c>
      <c r="F292" s="106">
        <v>19.5</v>
      </c>
      <c r="G292" s="106">
        <v>0</v>
      </c>
      <c r="H292" s="120">
        <v>172.8</v>
      </c>
      <c r="I292" s="120">
        <v>51</v>
      </c>
      <c r="L292" s="22">
        <v>2009</v>
      </c>
      <c r="M292" s="22">
        <v>282</v>
      </c>
    </row>
    <row r="293" spans="2:13" s="22" customFormat="1" x14ac:dyDescent="0.3">
      <c r="B293" s="42">
        <f t="shared" si="4"/>
        <v>40096</v>
      </c>
      <c r="D293" s="106">
        <v>19.8689</v>
      </c>
      <c r="E293" s="106">
        <v>34</v>
      </c>
      <c r="F293" s="106">
        <v>19.5</v>
      </c>
      <c r="G293" s="106">
        <v>0</v>
      </c>
      <c r="H293" s="120">
        <v>172.8</v>
      </c>
      <c r="I293" s="120">
        <v>60</v>
      </c>
      <c r="L293" s="22">
        <v>2009</v>
      </c>
      <c r="M293" s="22">
        <v>283</v>
      </c>
    </row>
    <row r="294" spans="2:13" s="22" customFormat="1" x14ac:dyDescent="0.3">
      <c r="B294" s="42">
        <f t="shared" si="4"/>
        <v>40097</v>
      </c>
      <c r="D294" s="106">
        <v>19.616499999999998</v>
      </c>
      <c r="E294" s="106">
        <v>34</v>
      </c>
      <c r="F294" s="106">
        <v>19.5</v>
      </c>
      <c r="G294" s="106">
        <v>0</v>
      </c>
      <c r="H294" s="120">
        <v>190.08</v>
      </c>
      <c r="I294" s="120">
        <v>63</v>
      </c>
      <c r="L294" s="22">
        <v>2009</v>
      </c>
      <c r="M294" s="22">
        <v>284</v>
      </c>
    </row>
    <row r="295" spans="2:13" s="22" customFormat="1" x14ac:dyDescent="0.3">
      <c r="B295" s="42">
        <f t="shared" si="4"/>
        <v>40098</v>
      </c>
      <c r="D295" s="106">
        <v>20.026700000000002</v>
      </c>
      <c r="E295" s="106">
        <v>35</v>
      </c>
      <c r="F295" s="106">
        <v>20.25</v>
      </c>
      <c r="G295" s="106">
        <v>0</v>
      </c>
      <c r="H295" s="120">
        <v>146.88</v>
      </c>
      <c r="I295" s="120">
        <v>58</v>
      </c>
      <c r="L295" s="22">
        <v>2009</v>
      </c>
      <c r="M295" s="22">
        <v>285</v>
      </c>
    </row>
    <row r="296" spans="2:13" s="22" customFormat="1" x14ac:dyDescent="0.3">
      <c r="B296" s="42">
        <f t="shared" si="4"/>
        <v>40099</v>
      </c>
      <c r="D296" s="106">
        <v>19.512499999999999</v>
      </c>
      <c r="E296" s="106">
        <v>34.5</v>
      </c>
      <c r="F296" s="106">
        <v>21.5</v>
      </c>
      <c r="G296" s="106">
        <v>0</v>
      </c>
      <c r="H296" s="120">
        <v>129.6</v>
      </c>
      <c r="I296" s="120">
        <v>61</v>
      </c>
      <c r="L296" s="22">
        <v>2009</v>
      </c>
      <c r="M296" s="22">
        <v>286</v>
      </c>
    </row>
    <row r="297" spans="2:13" s="22" customFormat="1" x14ac:dyDescent="0.3">
      <c r="B297" s="42">
        <f t="shared" si="4"/>
        <v>40100</v>
      </c>
      <c r="D297" s="106">
        <v>20.191500000000001</v>
      </c>
      <c r="E297" s="106">
        <v>34.5</v>
      </c>
      <c r="F297" s="106">
        <v>20.5</v>
      </c>
      <c r="G297" s="106">
        <v>0</v>
      </c>
      <c r="H297" s="120">
        <v>120.96</v>
      </c>
      <c r="I297" s="120">
        <v>60</v>
      </c>
      <c r="L297" s="22">
        <v>2009</v>
      </c>
      <c r="M297" s="22">
        <v>287</v>
      </c>
    </row>
    <row r="298" spans="2:13" s="22" customFormat="1" x14ac:dyDescent="0.3">
      <c r="B298" s="42">
        <f t="shared" si="4"/>
        <v>40101</v>
      </c>
      <c r="D298" s="106">
        <v>15.4369</v>
      </c>
      <c r="E298" s="106">
        <v>34</v>
      </c>
      <c r="F298" s="106">
        <v>21.5</v>
      </c>
      <c r="G298" s="106">
        <v>0</v>
      </c>
      <c r="H298" s="120">
        <v>112.32</v>
      </c>
      <c r="I298" s="120">
        <v>62</v>
      </c>
      <c r="L298" s="22">
        <v>2009</v>
      </c>
      <c r="M298" s="22">
        <v>288</v>
      </c>
    </row>
    <row r="299" spans="2:13" s="22" customFormat="1" x14ac:dyDescent="0.3">
      <c r="B299" s="42">
        <f t="shared" ref="B299:B362" si="5">DATE(L299-1,12,31)+M299</f>
        <v>40102</v>
      </c>
      <c r="D299" s="106">
        <v>17.659300000000002</v>
      </c>
      <c r="E299" s="106">
        <v>34</v>
      </c>
      <c r="F299" s="106">
        <v>21.5</v>
      </c>
      <c r="G299" s="106">
        <v>0</v>
      </c>
      <c r="H299" s="120">
        <v>190.08</v>
      </c>
      <c r="I299" s="120">
        <v>49</v>
      </c>
      <c r="L299" s="22">
        <v>2009</v>
      </c>
      <c r="M299" s="22">
        <v>289</v>
      </c>
    </row>
    <row r="300" spans="2:13" s="22" customFormat="1" x14ac:dyDescent="0.3">
      <c r="B300" s="42">
        <f t="shared" si="5"/>
        <v>40103</v>
      </c>
      <c r="D300" s="106">
        <v>17.409400000000002</v>
      </c>
      <c r="E300" s="106">
        <v>34.5</v>
      </c>
      <c r="F300" s="106">
        <v>21</v>
      </c>
      <c r="G300" s="106">
        <v>0</v>
      </c>
      <c r="H300" s="120">
        <v>95.04</v>
      </c>
      <c r="I300" s="120">
        <v>60</v>
      </c>
      <c r="L300" s="22">
        <v>2009</v>
      </c>
      <c r="M300" s="22">
        <v>290</v>
      </c>
    </row>
    <row r="301" spans="2:13" s="22" customFormat="1" x14ac:dyDescent="0.3">
      <c r="B301" s="42">
        <f t="shared" si="5"/>
        <v>40104</v>
      </c>
      <c r="D301" s="106">
        <v>20.210100000000001</v>
      </c>
      <c r="E301" s="106">
        <v>34.75</v>
      </c>
      <c r="F301" s="106">
        <v>20</v>
      </c>
      <c r="G301" s="106">
        <v>0</v>
      </c>
      <c r="H301" s="120">
        <v>207.36</v>
      </c>
      <c r="I301" s="120">
        <v>53</v>
      </c>
      <c r="L301" s="22">
        <v>2009</v>
      </c>
      <c r="M301" s="22">
        <v>291</v>
      </c>
    </row>
    <row r="302" spans="2:13" s="22" customFormat="1" x14ac:dyDescent="0.3">
      <c r="B302" s="42">
        <f t="shared" si="5"/>
        <v>40105</v>
      </c>
      <c r="D302" s="106">
        <v>19.975000000000001</v>
      </c>
      <c r="E302" s="106">
        <v>34.25</v>
      </c>
      <c r="F302" s="106">
        <v>20.5</v>
      </c>
      <c r="G302" s="106">
        <v>0</v>
      </c>
      <c r="H302" s="120">
        <v>198.72</v>
      </c>
      <c r="I302" s="120">
        <v>55</v>
      </c>
      <c r="L302" s="22">
        <v>2009</v>
      </c>
      <c r="M302" s="22">
        <v>292</v>
      </c>
    </row>
    <row r="303" spans="2:13" s="22" customFormat="1" x14ac:dyDescent="0.3">
      <c r="B303" s="42">
        <f t="shared" si="5"/>
        <v>40106</v>
      </c>
      <c r="D303" s="106">
        <v>20.641999999999999</v>
      </c>
      <c r="E303" s="106">
        <v>35.5</v>
      </c>
      <c r="F303" s="106">
        <v>19.75</v>
      </c>
      <c r="G303" s="106">
        <v>0</v>
      </c>
      <c r="H303" s="120">
        <v>190.08</v>
      </c>
      <c r="I303" s="120">
        <v>60</v>
      </c>
      <c r="L303" s="22">
        <v>2009</v>
      </c>
      <c r="M303" s="22">
        <v>293</v>
      </c>
    </row>
    <row r="304" spans="2:13" s="22" customFormat="1" x14ac:dyDescent="0.3">
      <c r="B304" s="42">
        <f t="shared" si="5"/>
        <v>40107</v>
      </c>
      <c r="D304" s="106">
        <v>14.047800000000001</v>
      </c>
      <c r="E304" s="106">
        <v>35</v>
      </c>
      <c r="F304" s="106">
        <v>21.5</v>
      </c>
      <c r="G304" s="106">
        <v>50</v>
      </c>
      <c r="H304" s="120">
        <v>207.36</v>
      </c>
      <c r="I304" s="120">
        <v>67</v>
      </c>
      <c r="L304" s="22">
        <v>2009</v>
      </c>
      <c r="M304" s="22">
        <v>294</v>
      </c>
    </row>
    <row r="305" spans="2:13" s="22" customFormat="1" x14ac:dyDescent="0.3">
      <c r="B305" s="42">
        <f t="shared" si="5"/>
        <v>40108</v>
      </c>
      <c r="D305" s="106">
        <v>19.736799999999999</v>
      </c>
      <c r="E305" s="106">
        <v>34</v>
      </c>
      <c r="F305" s="106">
        <v>16</v>
      </c>
      <c r="G305" s="106">
        <v>0</v>
      </c>
      <c r="H305" s="120">
        <v>51.84</v>
      </c>
      <c r="I305" s="120">
        <v>64</v>
      </c>
      <c r="L305" s="22">
        <v>2009</v>
      </c>
      <c r="M305" s="22">
        <v>295</v>
      </c>
    </row>
    <row r="306" spans="2:13" s="22" customFormat="1" x14ac:dyDescent="0.3">
      <c r="B306" s="42">
        <f t="shared" si="5"/>
        <v>40109</v>
      </c>
      <c r="D306" s="106">
        <v>11.552300000000001</v>
      </c>
      <c r="E306" s="106">
        <v>33</v>
      </c>
      <c r="F306" s="106">
        <v>21.5</v>
      </c>
      <c r="G306" s="106">
        <v>5</v>
      </c>
      <c r="H306" s="120">
        <v>146.88</v>
      </c>
      <c r="I306" s="120">
        <v>66</v>
      </c>
      <c r="L306" s="22">
        <v>2009</v>
      </c>
      <c r="M306" s="22">
        <v>296</v>
      </c>
    </row>
    <row r="307" spans="2:13" s="22" customFormat="1" x14ac:dyDescent="0.3">
      <c r="B307" s="42">
        <f t="shared" si="5"/>
        <v>40110</v>
      </c>
      <c r="D307" s="106">
        <v>13.412599999999999</v>
      </c>
      <c r="E307" s="106">
        <v>31.5</v>
      </c>
      <c r="F307" s="106">
        <v>21</v>
      </c>
      <c r="G307" s="106">
        <v>19</v>
      </c>
      <c r="H307" s="120">
        <v>69.12</v>
      </c>
      <c r="I307" s="120">
        <v>65</v>
      </c>
      <c r="L307" s="22">
        <v>2009</v>
      </c>
      <c r="M307" s="22">
        <v>297</v>
      </c>
    </row>
    <row r="308" spans="2:13" s="22" customFormat="1" x14ac:dyDescent="0.3">
      <c r="B308" s="42">
        <f t="shared" si="5"/>
        <v>40111</v>
      </c>
      <c r="D308" s="106">
        <v>20.174399999999999</v>
      </c>
      <c r="E308" s="106">
        <v>33</v>
      </c>
      <c r="F308" s="106">
        <v>19</v>
      </c>
      <c r="G308" s="106">
        <v>0</v>
      </c>
      <c r="H308" s="120">
        <v>95.04</v>
      </c>
      <c r="I308" s="120">
        <v>57</v>
      </c>
      <c r="L308" s="22">
        <v>2009</v>
      </c>
      <c r="M308" s="22">
        <v>298</v>
      </c>
    </row>
    <row r="309" spans="2:13" s="22" customFormat="1" x14ac:dyDescent="0.3">
      <c r="B309" s="42">
        <f t="shared" si="5"/>
        <v>40112</v>
      </c>
      <c r="D309" s="106">
        <v>20.721399999999999</v>
      </c>
      <c r="E309" s="106">
        <v>33</v>
      </c>
      <c r="F309" s="106">
        <v>21</v>
      </c>
      <c r="G309" s="106">
        <v>0</v>
      </c>
      <c r="H309" s="120">
        <v>86.4</v>
      </c>
      <c r="I309" s="120">
        <v>39</v>
      </c>
      <c r="L309" s="22">
        <v>2009</v>
      </c>
      <c r="M309" s="22">
        <v>299</v>
      </c>
    </row>
    <row r="310" spans="2:13" s="22" customFormat="1" x14ac:dyDescent="0.3">
      <c r="B310" s="42">
        <f t="shared" si="5"/>
        <v>40113</v>
      </c>
      <c r="D310" s="106">
        <v>20.740500000000001</v>
      </c>
      <c r="E310" s="106">
        <v>34</v>
      </c>
      <c r="F310" s="106">
        <v>19.5</v>
      </c>
      <c r="G310" s="106">
        <v>0</v>
      </c>
      <c r="H310" s="120">
        <v>69.12</v>
      </c>
      <c r="I310" s="120">
        <v>34</v>
      </c>
      <c r="L310" s="22">
        <v>2009</v>
      </c>
      <c r="M310" s="22">
        <v>300</v>
      </c>
    </row>
    <row r="311" spans="2:13" s="22" customFormat="1" x14ac:dyDescent="0.3">
      <c r="B311" s="42">
        <f t="shared" si="5"/>
        <v>40114</v>
      </c>
      <c r="D311" s="106">
        <v>20.634799999999998</v>
      </c>
      <c r="E311" s="106">
        <v>33</v>
      </c>
      <c r="F311" s="106">
        <v>18</v>
      </c>
      <c r="G311" s="106">
        <v>0</v>
      </c>
      <c r="H311" s="120">
        <v>172.8</v>
      </c>
      <c r="I311" s="120">
        <v>48</v>
      </c>
      <c r="L311" s="22">
        <v>2009</v>
      </c>
      <c r="M311" s="22">
        <v>301</v>
      </c>
    </row>
    <row r="312" spans="2:13" s="22" customFormat="1" x14ac:dyDescent="0.3">
      <c r="B312" s="42">
        <f t="shared" si="5"/>
        <v>40115</v>
      </c>
      <c r="D312" s="106">
        <v>20.774100000000001</v>
      </c>
      <c r="E312" s="106">
        <v>33</v>
      </c>
      <c r="F312" s="106">
        <v>17.5</v>
      </c>
      <c r="G312" s="106">
        <v>0</v>
      </c>
      <c r="H312" s="120">
        <v>95.04</v>
      </c>
      <c r="I312" s="120">
        <v>32</v>
      </c>
      <c r="L312" s="22">
        <v>2009</v>
      </c>
      <c r="M312" s="22">
        <v>302</v>
      </c>
    </row>
    <row r="313" spans="2:13" s="22" customFormat="1" x14ac:dyDescent="0.3">
      <c r="B313" s="42">
        <f t="shared" si="5"/>
        <v>40116</v>
      </c>
      <c r="D313" s="106">
        <v>20.651</v>
      </c>
      <c r="E313" s="106">
        <v>32.5</v>
      </c>
      <c r="F313" s="106">
        <v>17.05</v>
      </c>
      <c r="G313" s="106">
        <v>0</v>
      </c>
      <c r="H313" s="120">
        <v>138.24</v>
      </c>
      <c r="I313" s="120">
        <v>58</v>
      </c>
      <c r="L313" s="22">
        <v>2009</v>
      </c>
      <c r="M313" s="22">
        <v>303</v>
      </c>
    </row>
    <row r="314" spans="2:13" s="22" customFormat="1" x14ac:dyDescent="0.3">
      <c r="B314" s="42">
        <f t="shared" si="5"/>
        <v>40117</v>
      </c>
      <c r="D314" s="106">
        <v>11.5449</v>
      </c>
      <c r="E314" s="106">
        <v>31</v>
      </c>
      <c r="F314" s="106">
        <v>20.25</v>
      </c>
      <c r="G314" s="106">
        <v>30</v>
      </c>
      <c r="H314" s="120">
        <v>172.8</v>
      </c>
      <c r="I314" s="120">
        <v>70</v>
      </c>
      <c r="L314" s="22">
        <v>2009</v>
      </c>
      <c r="M314" s="22">
        <v>304</v>
      </c>
    </row>
    <row r="315" spans="2:13" s="22" customFormat="1" x14ac:dyDescent="0.3">
      <c r="B315" s="42">
        <f t="shared" si="5"/>
        <v>40118</v>
      </c>
      <c r="D315" s="106">
        <v>7.4540800000000003</v>
      </c>
      <c r="E315" s="106">
        <v>30</v>
      </c>
      <c r="F315" s="106">
        <v>19</v>
      </c>
      <c r="G315" s="106">
        <v>4</v>
      </c>
      <c r="H315" s="120">
        <v>224.64</v>
      </c>
      <c r="I315" s="120">
        <v>51</v>
      </c>
      <c r="L315" s="22">
        <v>2009</v>
      </c>
      <c r="M315" s="22">
        <v>305</v>
      </c>
    </row>
    <row r="316" spans="2:13" s="22" customFormat="1" x14ac:dyDescent="0.3">
      <c r="B316" s="42">
        <f t="shared" si="5"/>
        <v>40119</v>
      </c>
      <c r="D316" s="106">
        <v>14.074</v>
      </c>
      <c r="E316" s="106">
        <v>22</v>
      </c>
      <c r="F316" s="106">
        <v>19.5</v>
      </c>
      <c r="G316" s="106">
        <v>0</v>
      </c>
      <c r="H316" s="120">
        <v>241.92</v>
      </c>
      <c r="I316" s="120">
        <v>50</v>
      </c>
      <c r="L316" s="22">
        <v>2009</v>
      </c>
      <c r="M316" s="22">
        <v>306</v>
      </c>
    </row>
    <row r="317" spans="2:13" s="22" customFormat="1" x14ac:dyDescent="0.3">
      <c r="B317" s="42">
        <f t="shared" si="5"/>
        <v>40120</v>
      </c>
      <c r="D317" s="106">
        <v>18.0564</v>
      </c>
      <c r="E317" s="106">
        <v>29</v>
      </c>
      <c r="F317" s="106">
        <v>17.5</v>
      </c>
      <c r="G317" s="106">
        <v>0</v>
      </c>
      <c r="H317" s="120">
        <v>250.56</v>
      </c>
      <c r="I317" s="120">
        <v>34</v>
      </c>
      <c r="L317" s="22">
        <v>2009</v>
      </c>
      <c r="M317" s="22">
        <v>307</v>
      </c>
    </row>
    <row r="318" spans="2:13" s="22" customFormat="1" x14ac:dyDescent="0.3">
      <c r="B318" s="42">
        <f t="shared" si="5"/>
        <v>40121</v>
      </c>
      <c r="D318" s="106">
        <v>20.721399999999999</v>
      </c>
      <c r="E318" s="106">
        <v>30</v>
      </c>
      <c r="F318" s="106">
        <v>16</v>
      </c>
      <c r="G318" s="106">
        <v>0</v>
      </c>
      <c r="H318" s="120">
        <v>164.16</v>
      </c>
      <c r="I318" s="120">
        <v>37</v>
      </c>
      <c r="L318" s="22">
        <v>2009</v>
      </c>
      <c r="M318" s="22">
        <v>308</v>
      </c>
    </row>
    <row r="319" spans="2:13" s="22" customFormat="1" x14ac:dyDescent="0.3">
      <c r="B319" s="42">
        <f t="shared" si="5"/>
        <v>40122</v>
      </c>
      <c r="D319" s="106">
        <v>7.4814999999999996</v>
      </c>
      <c r="E319" s="106">
        <v>28.5</v>
      </c>
      <c r="F319" s="106">
        <v>22</v>
      </c>
      <c r="G319" s="106">
        <v>0</v>
      </c>
      <c r="H319" s="120">
        <v>69.12</v>
      </c>
      <c r="I319" s="120">
        <v>31</v>
      </c>
      <c r="L319" s="22">
        <v>2009</v>
      </c>
      <c r="M319" s="22">
        <v>309</v>
      </c>
    </row>
    <row r="320" spans="2:13" s="22" customFormat="1" x14ac:dyDescent="0.3">
      <c r="B320" s="42">
        <f t="shared" si="5"/>
        <v>40123</v>
      </c>
      <c r="D320" s="106">
        <v>21.100999999999999</v>
      </c>
      <c r="E320" s="106">
        <v>34</v>
      </c>
      <c r="F320" s="106">
        <v>15</v>
      </c>
      <c r="G320" s="106">
        <v>0</v>
      </c>
      <c r="H320" s="120">
        <v>146.88</v>
      </c>
      <c r="I320" s="120">
        <v>29</v>
      </c>
      <c r="L320" s="22">
        <v>2009</v>
      </c>
      <c r="M320" s="22">
        <v>310</v>
      </c>
    </row>
    <row r="321" spans="2:13" s="22" customFormat="1" x14ac:dyDescent="0.3">
      <c r="B321" s="42">
        <f t="shared" si="5"/>
        <v>40124</v>
      </c>
      <c r="D321" s="106">
        <v>20.721399999999999</v>
      </c>
      <c r="E321" s="106">
        <v>33</v>
      </c>
      <c r="F321" s="106">
        <v>25.75</v>
      </c>
      <c r="G321" s="106">
        <v>0</v>
      </c>
      <c r="H321" s="120">
        <v>198.72</v>
      </c>
      <c r="I321" s="120">
        <v>27</v>
      </c>
      <c r="L321" s="22">
        <v>2009</v>
      </c>
      <c r="M321" s="22">
        <v>311</v>
      </c>
    </row>
    <row r="322" spans="2:13" s="22" customFormat="1" x14ac:dyDescent="0.3">
      <c r="B322" s="42">
        <f t="shared" si="5"/>
        <v>40125</v>
      </c>
      <c r="D322" s="106">
        <v>20.873100000000001</v>
      </c>
      <c r="E322" s="106">
        <v>34</v>
      </c>
      <c r="F322" s="106">
        <v>18</v>
      </c>
      <c r="G322" s="106">
        <v>0</v>
      </c>
      <c r="H322" s="120">
        <v>103.68</v>
      </c>
      <c r="I322" s="120">
        <v>28</v>
      </c>
      <c r="L322" s="22">
        <v>2009</v>
      </c>
      <c r="M322" s="22">
        <v>312</v>
      </c>
    </row>
    <row r="323" spans="2:13" s="22" customFormat="1" x14ac:dyDescent="0.3">
      <c r="B323" s="42">
        <f t="shared" si="5"/>
        <v>40126</v>
      </c>
      <c r="D323" s="106">
        <v>21.0307</v>
      </c>
      <c r="E323" s="106">
        <v>35</v>
      </c>
      <c r="F323" s="106">
        <v>18.5</v>
      </c>
      <c r="G323" s="106">
        <v>0</v>
      </c>
      <c r="H323" s="120">
        <v>77.760000000000005</v>
      </c>
      <c r="I323" s="120">
        <v>26</v>
      </c>
      <c r="L323" s="22">
        <v>2009</v>
      </c>
      <c r="M323" s="22">
        <v>313</v>
      </c>
    </row>
    <row r="324" spans="2:13" s="22" customFormat="1" x14ac:dyDescent="0.3">
      <c r="B324" s="42">
        <f t="shared" si="5"/>
        <v>40127</v>
      </c>
      <c r="D324" s="106">
        <v>20.245999999999999</v>
      </c>
      <c r="E324" s="106">
        <v>35</v>
      </c>
      <c r="F324" s="106">
        <v>18.5</v>
      </c>
      <c r="G324" s="106">
        <v>0</v>
      </c>
      <c r="H324" s="120">
        <v>86.4</v>
      </c>
      <c r="I324" s="120">
        <v>26</v>
      </c>
      <c r="L324" s="22">
        <v>2009</v>
      </c>
      <c r="M324" s="22">
        <v>314</v>
      </c>
    </row>
    <row r="325" spans="2:13" s="22" customFormat="1" x14ac:dyDescent="0.3">
      <c r="B325" s="42">
        <f t="shared" si="5"/>
        <v>40128</v>
      </c>
      <c r="D325" s="106">
        <v>20.783100000000001</v>
      </c>
      <c r="E325" s="106">
        <v>34</v>
      </c>
      <c r="F325" s="106">
        <v>18</v>
      </c>
      <c r="G325" s="106">
        <v>0</v>
      </c>
      <c r="H325" s="120">
        <v>129.6</v>
      </c>
      <c r="I325" s="120">
        <v>30</v>
      </c>
      <c r="L325" s="22">
        <v>2009</v>
      </c>
      <c r="M325" s="22">
        <v>315</v>
      </c>
    </row>
    <row r="326" spans="2:13" s="22" customFormat="1" x14ac:dyDescent="0.3">
      <c r="B326" s="42">
        <f t="shared" si="5"/>
        <v>40129</v>
      </c>
      <c r="D326" s="106">
        <v>20.793800000000001</v>
      </c>
      <c r="E326" s="106">
        <v>35</v>
      </c>
      <c r="F326" s="106">
        <v>16.5</v>
      </c>
      <c r="G326" s="106">
        <v>0</v>
      </c>
      <c r="H326" s="120">
        <v>190.08</v>
      </c>
      <c r="I326" s="120">
        <v>17</v>
      </c>
      <c r="L326" s="22">
        <v>2009</v>
      </c>
      <c r="M326" s="22">
        <v>316</v>
      </c>
    </row>
    <row r="327" spans="2:13" s="22" customFormat="1" x14ac:dyDescent="0.3">
      <c r="B327" s="42">
        <f t="shared" si="5"/>
        <v>40130</v>
      </c>
      <c r="D327" s="106">
        <v>17.633500000000002</v>
      </c>
      <c r="E327" s="106">
        <v>32.5</v>
      </c>
      <c r="F327" s="106">
        <v>15</v>
      </c>
      <c r="G327" s="106">
        <v>0</v>
      </c>
      <c r="H327" s="120">
        <v>328.32</v>
      </c>
      <c r="I327" s="120">
        <v>14</v>
      </c>
      <c r="L327" s="22">
        <v>2009</v>
      </c>
      <c r="M327" s="22">
        <v>317</v>
      </c>
    </row>
    <row r="328" spans="2:13" s="22" customFormat="1" x14ac:dyDescent="0.3">
      <c r="B328" s="42">
        <f t="shared" si="5"/>
        <v>40131</v>
      </c>
      <c r="D328" s="106">
        <v>20.820399999999999</v>
      </c>
      <c r="E328" s="106">
        <v>32</v>
      </c>
      <c r="F328" s="106">
        <v>13</v>
      </c>
      <c r="G328" s="106">
        <v>0</v>
      </c>
      <c r="H328" s="120">
        <v>216</v>
      </c>
      <c r="I328" s="120">
        <v>14</v>
      </c>
      <c r="L328" s="22">
        <v>2009</v>
      </c>
      <c r="M328" s="22">
        <v>318</v>
      </c>
    </row>
    <row r="329" spans="2:13" s="22" customFormat="1" x14ac:dyDescent="0.3">
      <c r="B329" s="42">
        <f t="shared" si="5"/>
        <v>40132</v>
      </c>
      <c r="D329" s="106">
        <v>20.968699999999998</v>
      </c>
      <c r="E329" s="106">
        <v>32</v>
      </c>
      <c r="F329" s="106">
        <v>12.5</v>
      </c>
      <c r="G329" s="106">
        <v>0</v>
      </c>
      <c r="H329" s="120">
        <v>146.88</v>
      </c>
      <c r="I329" s="120">
        <v>13</v>
      </c>
      <c r="L329" s="22">
        <v>2009</v>
      </c>
      <c r="M329" s="22">
        <v>319</v>
      </c>
    </row>
    <row r="330" spans="2:13" s="22" customFormat="1" x14ac:dyDescent="0.3">
      <c r="B330" s="42">
        <f t="shared" si="5"/>
        <v>40133</v>
      </c>
      <c r="D330" s="106">
        <v>20.323899999999998</v>
      </c>
      <c r="E330" s="106">
        <v>33</v>
      </c>
      <c r="F330" s="106">
        <v>12.5</v>
      </c>
      <c r="G330" s="106">
        <v>0</v>
      </c>
      <c r="H330" s="120">
        <v>51.84</v>
      </c>
      <c r="I330" s="120">
        <v>13</v>
      </c>
      <c r="L330" s="22">
        <v>2009</v>
      </c>
      <c r="M330" s="22">
        <v>320</v>
      </c>
    </row>
    <row r="331" spans="2:13" s="22" customFormat="1" x14ac:dyDescent="0.3">
      <c r="B331" s="42">
        <f t="shared" si="5"/>
        <v>40134</v>
      </c>
      <c r="D331" s="106">
        <v>18.486499999999999</v>
      </c>
      <c r="E331" s="106">
        <v>28</v>
      </c>
      <c r="F331" s="106">
        <v>16</v>
      </c>
      <c r="G331" s="106">
        <v>0</v>
      </c>
      <c r="H331" s="120">
        <v>216</v>
      </c>
      <c r="I331" s="120">
        <v>26</v>
      </c>
      <c r="L331" s="22">
        <v>2009</v>
      </c>
      <c r="M331" s="22">
        <v>321</v>
      </c>
    </row>
    <row r="332" spans="2:13" s="22" customFormat="1" x14ac:dyDescent="0.3">
      <c r="B332" s="42">
        <f t="shared" si="5"/>
        <v>40135</v>
      </c>
      <c r="D332" s="106">
        <v>18.9192</v>
      </c>
      <c r="E332" s="106">
        <v>33.5</v>
      </c>
      <c r="F332" s="106">
        <v>13.5</v>
      </c>
      <c r="G332" s="106">
        <v>0</v>
      </c>
      <c r="H332" s="120">
        <v>250.56</v>
      </c>
      <c r="I332" s="120">
        <v>16</v>
      </c>
      <c r="L332" s="22">
        <v>2009</v>
      </c>
      <c r="M332" s="22">
        <v>322</v>
      </c>
    </row>
    <row r="333" spans="2:13" s="22" customFormat="1" x14ac:dyDescent="0.3">
      <c r="B333" s="42">
        <f t="shared" si="5"/>
        <v>40136</v>
      </c>
      <c r="D333" s="106">
        <v>15.6256</v>
      </c>
      <c r="E333" s="106">
        <v>32.5</v>
      </c>
      <c r="F333" s="106">
        <v>14</v>
      </c>
      <c r="G333" s="106">
        <v>0</v>
      </c>
      <c r="H333" s="120">
        <v>233.28</v>
      </c>
      <c r="I333" s="120">
        <v>16</v>
      </c>
      <c r="L333" s="22">
        <v>2009</v>
      </c>
      <c r="M333" s="22">
        <v>323</v>
      </c>
    </row>
    <row r="334" spans="2:13" s="22" customFormat="1" x14ac:dyDescent="0.3">
      <c r="B334" s="42">
        <f t="shared" si="5"/>
        <v>40137</v>
      </c>
      <c r="D334" s="106">
        <v>18.009699999999999</v>
      </c>
      <c r="E334" s="106">
        <v>30.5</v>
      </c>
      <c r="F334" s="106">
        <v>14</v>
      </c>
      <c r="G334" s="106">
        <v>0</v>
      </c>
      <c r="H334" s="120">
        <v>259.2</v>
      </c>
      <c r="I334" s="120">
        <v>14</v>
      </c>
      <c r="L334" s="22">
        <v>2009</v>
      </c>
      <c r="M334" s="22">
        <v>324</v>
      </c>
    </row>
    <row r="335" spans="2:13" s="22" customFormat="1" x14ac:dyDescent="0.3">
      <c r="B335" s="42">
        <f t="shared" si="5"/>
        <v>40138</v>
      </c>
      <c r="D335" s="106">
        <v>20.133199999999999</v>
      </c>
      <c r="E335" s="106">
        <v>32.5</v>
      </c>
      <c r="F335" s="106">
        <v>12.5</v>
      </c>
      <c r="G335" s="106">
        <v>0</v>
      </c>
      <c r="H335" s="120">
        <v>276.48</v>
      </c>
      <c r="I335" s="120">
        <v>12</v>
      </c>
      <c r="L335" s="22">
        <v>2009</v>
      </c>
      <c r="M335" s="22">
        <v>325</v>
      </c>
    </row>
    <row r="336" spans="2:13" s="22" customFormat="1" x14ac:dyDescent="0.3">
      <c r="B336" s="42">
        <f t="shared" si="5"/>
        <v>40139</v>
      </c>
      <c r="D336" s="106">
        <v>18.691099999999999</v>
      </c>
      <c r="E336" s="106">
        <v>33</v>
      </c>
      <c r="F336" s="106">
        <v>10.5</v>
      </c>
      <c r="G336" s="106">
        <v>0</v>
      </c>
      <c r="H336" s="120">
        <v>267.83999999999997</v>
      </c>
      <c r="I336" s="120">
        <v>11</v>
      </c>
      <c r="L336" s="22">
        <v>2009</v>
      </c>
      <c r="M336" s="22">
        <v>326</v>
      </c>
    </row>
    <row r="337" spans="2:13" s="22" customFormat="1" x14ac:dyDescent="0.3">
      <c r="B337" s="42">
        <f t="shared" si="5"/>
        <v>40140</v>
      </c>
      <c r="D337" s="106">
        <v>19.7622</v>
      </c>
      <c r="E337" s="106">
        <v>33</v>
      </c>
      <c r="F337" s="106">
        <v>12</v>
      </c>
      <c r="G337" s="106">
        <v>0</v>
      </c>
      <c r="H337" s="120">
        <v>224.64</v>
      </c>
      <c r="I337" s="120">
        <v>12</v>
      </c>
      <c r="L337" s="22">
        <v>2009</v>
      </c>
      <c r="M337" s="22">
        <v>327</v>
      </c>
    </row>
    <row r="338" spans="2:13" s="22" customFormat="1" x14ac:dyDescent="0.3">
      <c r="B338" s="42">
        <f t="shared" si="5"/>
        <v>40141</v>
      </c>
      <c r="D338" s="106">
        <v>19.380199999999999</v>
      </c>
      <c r="E338" s="106">
        <v>33.5</v>
      </c>
      <c r="F338" s="106">
        <v>11.5</v>
      </c>
      <c r="G338" s="106">
        <v>0</v>
      </c>
      <c r="H338" s="120">
        <v>241.92</v>
      </c>
      <c r="I338" s="120">
        <v>14</v>
      </c>
      <c r="L338" s="22">
        <v>2009</v>
      </c>
      <c r="M338" s="22">
        <v>328</v>
      </c>
    </row>
    <row r="339" spans="2:13" s="22" customFormat="1" x14ac:dyDescent="0.3">
      <c r="B339" s="42">
        <f t="shared" si="5"/>
        <v>40142</v>
      </c>
      <c r="D339" s="106">
        <v>20.721399999999999</v>
      </c>
      <c r="E339" s="106">
        <v>34</v>
      </c>
      <c r="F339" s="106">
        <v>12.5</v>
      </c>
      <c r="G339" s="106">
        <v>0</v>
      </c>
      <c r="H339" s="120">
        <v>267.83999999999997</v>
      </c>
      <c r="I339" s="120">
        <v>13</v>
      </c>
      <c r="L339" s="22">
        <v>2009</v>
      </c>
      <c r="M339" s="22">
        <v>329</v>
      </c>
    </row>
    <row r="340" spans="2:13" s="22" customFormat="1" x14ac:dyDescent="0.3">
      <c r="B340" s="42">
        <f t="shared" si="5"/>
        <v>40143</v>
      </c>
      <c r="D340" s="106">
        <v>19.1494</v>
      </c>
      <c r="E340" s="106">
        <v>34</v>
      </c>
      <c r="F340" s="106">
        <v>12</v>
      </c>
      <c r="G340" s="106">
        <v>0</v>
      </c>
      <c r="H340" s="120">
        <v>285.12</v>
      </c>
      <c r="I340" s="120">
        <v>10</v>
      </c>
      <c r="L340" s="22">
        <v>2009</v>
      </c>
      <c r="M340" s="22">
        <v>330</v>
      </c>
    </row>
    <row r="341" spans="2:13" s="22" customFormat="1" x14ac:dyDescent="0.3">
      <c r="B341" s="42">
        <f t="shared" si="5"/>
        <v>40144</v>
      </c>
      <c r="D341" s="106">
        <v>20.174399999999999</v>
      </c>
      <c r="E341" s="106">
        <v>33</v>
      </c>
      <c r="F341" s="106">
        <v>10</v>
      </c>
      <c r="G341" s="106">
        <v>0</v>
      </c>
      <c r="H341" s="120">
        <v>241.92</v>
      </c>
      <c r="I341" s="120">
        <v>10</v>
      </c>
      <c r="L341" s="22">
        <v>2009</v>
      </c>
      <c r="M341" s="22">
        <v>331</v>
      </c>
    </row>
    <row r="342" spans="2:13" s="22" customFormat="1" x14ac:dyDescent="0.3">
      <c r="B342" s="42">
        <f t="shared" si="5"/>
        <v>40145</v>
      </c>
      <c r="D342" s="106">
        <v>18.469200000000001</v>
      </c>
      <c r="E342" s="106">
        <v>32</v>
      </c>
      <c r="F342" s="106">
        <v>12</v>
      </c>
      <c r="G342" s="106">
        <v>0</v>
      </c>
      <c r="H342" s="120">
        <v>198.72</v>
      </c>
      <c r="I342" s="120">
        <v>12</v>
      </c>
      <c r="L342" s="22">
        <v>2009</v>
      </c>
      <c r="M342" s="22">
        <v>332</v>
      </c>
    </row>
    <row r="343" spans="2:13" s="22" customFormat="1" x14ac:dyDescent="0.3">
      <c r="B343" s="42">
        <f t="shared" si="5"/>
        <v>40146</v>
      </c>
      <c r="D343" s="106">
        <v>17.160599999999999</v>
      </c>
      <c r="E343" s="106">
        <v>34.5</v>
      </c>
      <c r="F343" s="106">
        <v>13.5</v>
      </c>
      <c r="G343" s="106">
        <v>0</v>
      </c>
      <c r="H343" s="120">
        <v>224.64</v>
      </c>
      <c r="I343" s="120">
        <v>14</v>
      </c>
      <c r="L343" s="22">
        <v>2009</v>
      </c>
      <c r="M343" s="22">
        <v>333</v>
      </c>
    </row>
    <row r="344" spans="2:13" s="22" customFormat="1" x14ac:dyDescent="0.3">
      <c r="B344" s="42">
        <f t="shared" si="5"/>
        <v>40147</v>
      </c>
      <c r="D344" s="106">
        <v>15.488099999999999</v>
      </c>
      <c r="E344" s="106">
        <v>32.5</v>
      </c>
      <c r="F344" s="106">
        <v>13</v>
      </c>
      <c r="G344" s="106">
        <v>0</v>
      </c>
      <c r="H344" s="120">
        <v>250.56</v>
      </c>
      <c r="I344" s="120">
        <v>10</v>
      </c>
      <c r="L344" s="22">
        <v>2009</v>
      </c>
      <c r="M344" s="22">
        <v>334</v>
      </c>
    </row>
    <row r="345" spans="2:13" s="22" customFormat="1" x14ac:dyDescent="0.3">
      <c r="B345" s="42">
        <f t="shared" si="5"/>
        <v>40148</v>
      </c>
      <c r="D345" s="106">
        <v>11.401300000000001</v>
      </c>
      <c r="E345" s="106">
        <v>32.5</v>
      </c>
      <c r="F345" s="106">
        <v>10.5</v>
      </c>
      <c r="G345" s="106">
        <v>0</v>
      </c>
      <c r="H345" s="120">
        <v>267.83999999999997</v>
      </c>
      <c r="I345" s="120">
        <v>11</v>
      </c>
      <c r="L345" s="22">
        <v>2009</v>
      </c>
      <c r="M345" s="22">
        <v>335</v>
      </c>
    </row>
    <row r="346" spans="2:13" s="22" customFormat="1" x14ac:dyDescent="0.3">
      <c r="B346" s="42">
        <f t="shared" si="5"/>
        <v>40149</v>
      </c>
      <c r="D346" s="106">
        <v>18.273900000000001</v>
      </c>
      <c r="E346" s="106">
        <v>32</v>
      </c>
      <c r="F346" s="106">
        <v>10.5</v>
      </c>
      <c r="G346" s="106">
        <v>0</v>
      </c>
      <c r="H346" s="120">
        <v>311.04000000000002</v>
      </c>
      <c r="I346" s="120">
        <v>6</v>
      </c>
      <c r="L346" s="22">
        <v>2009</v>
      </c>
      <c r="M346" s="22">
        <v>336</v>
      </c>
    </row>
    <row r="347" spans="2:13" s="22" customFormat="1" x14ac:dyDescent="0.3">
      <c r="B347" s="42">
        <f t="shared" si="5"/>
        <v>40150</v>
      </c>
      <c r="D347" s="106">
        <v>18.943999999999999</v>
      </c>
      <c r="E347" s="106">
        <v>33</v>
      </c>
      <c r="F347" s="106">
        <v>9.5</v>
      </c>
      <c r="G347" s="106">
        <v>0</v>
      </c>
      <c r="H347" s="120">
        <v>285.12</v>
      </c>
      <c r="I347" s="120">
        <v>5</v>
      </c>
      <c r="L347" s="22">
        <v>2009</v>
      </c>
      <c r="M347" s="22">
        <v>337</v>
      </c>
    </row>
    <row r="348" spans="2:13" s="22" customFormat="1" x14ac:dyDescent="0.3">
      <c r="B348" s="42">
        <f t="shared" si="5"/>
        <v>40151</v>
      </c>
      <c r="D348" s="106">
        <v>19.616499999999998</v>
      </c>
      <c r="E348" s="106">
        <v>34</v>
      </c>
      <c r="F348" s="106">
        <v>10</v>
      </c>
      <c r="G348" s="106">
        <v>0</v>
      </c>
      <c r="H348" s="120">
        <v>328.32</v>
      </c>
      <c r="I348" s="120">
        <v>5</v>
      </c>
      <c r="L348" s="22">
        <v>2009</v>
      </c>
      <c r="M348" s="22">
        <v>338</v>
      </c>
    </row>
    <row r="349" spans="2:13" s="22" customFormat="1" x14ac:dyDescent="0.3">
      <c r="B349" s="42">
        <f t="shared" si="5"/>
        <v>40152</v>
      </c>
      <c r="D349" s="106">
        <v>18.5716</v>
      </c>
      <c r="E349" s="106">
        <v>33.5</v>
      </c>
      <c r="F349" s="106">
        <v>9.5</v>
      </c>
      <c r="G349" s="106">
        <v>0</v>
      </c>
      <c r="H349" s="120">
        <v>319.68</v>
      </c>
      <c r="I349" s="120">
        <v>5</v>
      </c>
      <c r="L349" s="22">
        <v>2009</v>
      </c>
      <c r="M349" s="22">
        <v>339</v>
      </c>
    </row>
    <row r="350" spans="2:13" s="22" customFormat="1" x14ac:dyDescent="0.3">
      <c r="B350" s="42">
        <f t="shared" si="5"/>
        <v>40153</v>
      </c>
      <c r="D350" s="106">
        <v>19.247800000000002</v>
      </c>
      <c r="E350" s="106">
        <v>33</v>
      </c>
      <c r="F350" s="106">
        <v>8.5</v>
      </c>
      <c r="G350" s="106">
        <v>0</v>
      </c>
      <c r="H350" s="120">
        <v>328.32</v>
      </c>
      <c r="I350" s="120">
        <v>4</v>
      </c>
      <c r="L350" s="22">
        <v>2009</v>
      </c>
      <c r="M350" s="22">
        <v>340</v>
      </c>
    </row>
    <row r="351" spans="2:13" s="22" customFormat="1" x14ac:dyDescent="0.3">
      <c r="B351" s="42">
        <f t="shared" si="5"/>
        <v>40154</v>
      </c>
      <c r="D351" s="106">
        <v>20.191500000000001</v>
      </c>
      <c r="E351" s="106">
        <v>34</v>
      </c>
      <c r="F351" s="106">
        <v>8.5500000000000007</v>
      </c>
      <c r="G351" s="106">
        <v>0</v>
      </c>
      <c r="H351" s="120">
        <v>345.6</v>
      </c>
      <c r="I351" s="120">
        <v>3</v>
      </c>
      <c r="L351" s="22">
        <v>2009</v>
      </c>
      <c r="M351" s="22">
        <v>341</v>
      </c>
    </row>
    <row r="352" spans="2:13" s="22" customFormat="1" x14ac:dyDescent="0.3">
      <c r="B352" s="42">
        <f t="shared" si="5"/>
        <v>40155</v>
      </c>
      <c r="D352" s="106">
        <v>20.210100000000001</v>
      </c>
      <c r="E352" s="106">
        <v>34</v>
      </c>
      <c r="F352" s="106">
        <v>10</v>
      </c>
      <c r="G352" s="106">
        <v>0</v>
      </c>
      <c r="H352" s="120">
        <v>354.24</v>
      </c>
      <c r="I352" s="120">
        <v>6</v>
      </c>
      <c r="L352" s="22">
        <v>2009</v>
      </c>
      <c r="M352" s="22">
        <v>342</v>
      </c>
    </row>
    <row r="353" spans="2:13" s="22" customFormat="1" x14ac:dyDescent="0.3">
      <c r="B353" s="42">
        <f t="shared" si="5"/>
        <v>40156</v>
      </c>
      <c r="D353" s="106">
        <v>20.238900000000001</v>
      </c>
      <c r="E353" s="106">
        <v>34</v>
      </c>
      <c r="F353" s="106">
        <v>9.5</v>
      </c>
      <c r="G353" s="106">
        <v>0</v>
      </c>
      <c r="H353" s="120">
        <v>362.88</v>
      </c>
      <c r="I353" s="120">
        <v>4</v>
      </c>
      <c r="L353" s="22">
        <v>2009</v>
      </c>
      <c r="M353" s="22">
        <v>343</v>
      </c>
    </row>
    <row r="354" spans="2:13" s="22" customFormat="1" x14ac:dyDescent="0.3">
      <c r="B354" s="42">
        <f t="shared" si="5"/>
        <v>40157</v>
      </c>
      <c r="D354" s="106">
        <v>19.321899999999999</v>
      </c>
      <c r="E354" s="106">
        <v>32</v>
      </c>
      <c r="F354" s="106">
        <v>10.5</v>
      </c>
      <c r="G354" s="106">
        <v>0</v>
      </c>
      <c r="H354" s="120">
        <v>319.68</v>
      </c>
      <c r="I354" s="120">
        <v>4</v>
      </c>
      <c r="L354" s="22">
        <v>2009</v>
      </c>
      <c r="M354" s="22">
        <v>344</v>
      </c>
    </row>
    <row r="355" spans="2:13" s="22" customFormat="1" x14ac:dyDescent="0.3">
      <c r="B355" s="42">
        <f t="shared" si="5"/>
        <v>40158</v>
      </c>
      <c r="D355" s="106">
        <v>17.349399999999999</v>
      </c>
      <c r="E355" s="106">
        <v>31.5</v>
      </c>
      <c r="F355" s="106">
        <v>9.5</v>
      </c>
      <c r="G355" s="106">
        <v>0</v>
      </c>
      <c r="H355" s="120">
        <v>207.36</v>
      </c>
      <c r="I355" s="120">
        <v>5</v>
      </c>
      <c r="L355" s="22">
        <v>2009</v>
      </c>
      <c r="M355" s="22">
        <v>345</v>
      </c>
    </row>
    <row r="356" spans="2:13" s="22" customFormat="1" x14ac:dyDescent="0.3">
      <c r="B356" s="42">
        <f t="shared" si="5"/>
        <v>40159</v>
      </c>
      <c r="D356" s="106">
        <v>16.697900000000001</v>
      </c>
      <c r="E356" s="106">
        <v>31.5</v>
      </c>
      <c r="F356" s="106">
        <v>14</v>
      </c>
      <c r="G356" s="106">
        <v>0</v>
      </c>
      <c r="H356" s="120">
        <v>138.24</v>
      </c>
      <c r="I356" s="120">
        <v>7</v>
      </c>
      <c r="L356" s="22">
        <v>2009</v>
      </c>
      <c r="M356" s="22">
        <v>346</v>
      </c>
    </row>
    <row r="357" spans="2:13" s="22" customFormat="1" x14ac:dyDescent="0.3">
      <c r="B357" s="42">
        <f t="shared" si="5"/>
        <v>40160</v>
      </c>
      <c r="D357" s="106">
        <v>11.4201</v>
      </c>
      <c r="E357" s="106">
        <v>32.5</v>
      </c>
      <c r="F357" s="106">
        <v>16</v>
      </c>
      <c r="G357" s="106">
        <v>0</v>
      </c>
      <c r="H357" s="120">
        <v>69.12</v>
      </c>
      <c r="I357" s="120">
        <v>9</v>
      </c>
      <c r="L357" s="22">
        <v>2009</v>
      </c>
      <c r="M357" s="22">
        <v>347</v>
      </c>
    </row>
    <row r="358" spans="2:13" s="22" customFormat="1" x14ac:dyDescent="0.3">
      <c r="B358" s="42">
        <f t="shared" si="5"/>
        <v>40161</v>
      </c>
      <c r="D358" s="106">
        <v>18.836200000000002</v>
      </c>
      <c r="E358" s="106">
        <v>31.5</v>
      </c>
      <c r="F358" s="106">
        <v>13</v>
      </c>
      <c r="G358" s="106">
        <v>0</v>
      </c>
      <c r="H358" s="120">
        <v>69.12</v>
      </c>
      <c r="I358" s="120">
        <v>24</v>
      </c>
      <c r="L358" s="22">
        <v>2009</v>
      </c>
      <c r="M358" s="22">
        <v>348</v>
      </c>
    </row>
    <row r="359" spans="2:13" s="22" customFormat="1" x14ac:dyDescent="0.3">
      <c r="B359" s="42">
        <f t="shared" si="5"/>
        <v>40162</v>
      </c>
      <c r="D359" s="106">
        <v>18.585899999999999</v>
      </c>
      <c r="E359" s="106">
        <v>32</v>
      </c>
      <c r="F359" s="106">
        <v>13.5</v>
      </c>
      <c r="G359" s="106">
        <v>0</v>
      </c>
      <c r="H359" s="120">
        <v>233.28</v>
      </c>
      <c r="I359" s="120">
        <v>14</v>
      </c>
      <c r="L359" s="22">
        <v>2009</v>
      </c>
      <c r="M359" s="22">
        <v>349</v>
      </c>
    </row>
    <row r="360" spans="2:13" s="22" customFormat="1" x14ac:dyDescent="0.3">
      <c r="B360" s="42">
        <f t="shared" si="5"/>
        <v>40163</v>
      </c>
      <c r="D360" s="106">
        <v>20.721399999999999</v>
      </c>
      <c r="E360" s="106">
        <v>33.5</v>
      </c>
      <c r="F360" s="106">
        <v>14.25</v>
      </c>
      <c r="G360" s="106">
        <v>0</v>
      </c>
      <c r="H360" s="120">
        <v>345.6</v>
      </c>
      <c r="I360" s="120">
        <v>8</v>
      </c>
      <c r="L360" s="22">
        <v>2009</v>
      </c>
      <c r="M360" s="22">
        <v>350</v>
      </c>
    </row>
    <row r="361" spans="2:13" s="22" customFormat="1" x14ac:dyDescent="0.3">
      <c r="B361" s="42">
        <f t="shared" si="5"/>
        <v>40164</v>
      </c>
      <c r="D361" s="106">
        <v>19.8124</v>
      </c>
      <c r="E361" s="106">
        <v>33.5</v>
      </c>
      <c r="F361" s="106">
        <v>13.4</v>
      </c>
      <c r="G361" s="106">
        <v>0</v>
      </c>
      <c r="H361" s="120">
        <v>328.32</v>
      </c>
      <c r="I361" s="120">
        <v>10</v>
      </c>
      <c r="L361" s="22">
        <v>2009</v>
      </c>
      <c r="M361" s="22">
        <v>351</v>
      </c>
    </row>
    <row r="362" spans="2:13" s="22" customFormat="1" x14ac:dyDescent="0.3">
      <c r="B362" s="42">
        <f t="shared" si="5"/>
        <v>40165</v>
      </c>
      <c r="D362" s="106">
        <v>20.042000000000002</v>
      </c>
      <c r="E362" s="106">
        <v>35.5</v>
      </c>
      <c r="F362" s="106">
        <v>11.5</v>
      </c>
      <c r="G362" s="106">
        <v>0</v>
      </c>
      <c r="H362" s="120">
        <v>311.04000000000002</v>
      </c>
      <c r="I362" s="120">
        <v>10</v>
      </c>
      <c r="L362" s="22">
        <v>2009</v>
      </c>
      <c r="M362" s="22">
        <v>352</v>
      </c>
    </row>
    <row r="363" spans="2:13" s="22" customFormat="1" x14ac:dyDescent="0.3">
      <c r="B363" s="42">
        <f t="shared" ref="B363:B426" si="6">DATE(L363-1,12,31)+M363</f>
        <v>40166</v>
      </c>
      <c r="D363" s="106">
        <v>17.674399999999999</v>
      </c>
      <c r="E363" s="106">
        <v>36</v>
      </c>
      <c r="F363" s="106">
        <v>11.45</v>
      </c>
      <c r="G363" s="106">
        <v>0</v>
      </c>
      <c r="H363" s="120">
        <v>216</v>
      </c>
      <c r="I363" s="120">
        <v>7</v>
      </c>
      <c r="L363" s="22">
        <v>2009</v>
      </c>
      <c r="M363" s="22">
        <v>353</v>
      </c>
    </row>
    <row r="364" spans="2:13" s="22" customFormat="1" x14ac:dyDescent="0.3">
      <c r="B364" s="42">
        <f t="shared" si="6"/>
        <v>40167</v>
      </c>
      <c r="D364" s="106">
        <v>19.5472</v>
      </c>
      <c r="E364" s="106">
        <v>35</v>
      </c>
      <c r="F364" s="106">
        <v>12</v>
      </c>
      <c r="G364" s="106">
        <v>0</v>
      </c>
      <c r="H364" s="120">
        <v>207.36</v>
      </c>
      <c r="I364" s="120">
        <v>5</v>
      </c>
      <c r="L364" s="22">
        <v>2009</v>
      </c>
      <c r="M364" s="22">
        <v>354</v>
      </c>
    </row>
    <row r="365" spans="2:13" s="22" customFormat="1" x14ac:dyDescent="0.3">
      <c r="B365" s="42">
        <f t="shared" si="6"/>
        <v>40168</v>
      </c>
      <c r="D365" s="106">
        <v>18.523299999999999</v>
      </c>
      <c r="E365" s="106">
        <v>36</v>
      </c>
      <c r="F365" s="106">
        <v>10</v>
      </c>
      <c r="G365" s="106">
        <v>0</v>
      </c>
      <c r="H365" s="120">
        <v>224.64</v>
      </c>
      <c r="I365" s="120">
        <v>3</v>
      </c>
      <c r="L365" s="22">
        <v>2009</v>
      </c>
      <c r="M365" s="22">
        <v>355</v>
      </c>
    </row>
    <row r="366" spans="2:13" s="22" customFormat="1" x14ac:dyDescent="0.3">
      <c r="B366" s="42">
        <f t="shared" si="6"/>
        <v>40169</v>
      </c>
      <c r="D366" s="106">
        <v>19.718</v>
      </c>
      <c r="E366" s="106">
        <v>36.4</v>
      </c>
      <c r="F366" s="106">
        <v>10.4</v>
      </c>
      <c r="G366" s="106">
        <v>0</v>
      </c>
      <c r="H366" s="120">
        <v>241.92</v>
      </c>
      <c r="I366" s="120">
        <v>4</v>
      </c>
      <c r="L366" s="22">
        <v>2009</v>
      </c>
      <c r="M366" s="22">
        <v>356</v>
      </c>
    </row>
    <row r="367" spans="2:13" s="22" customFormat="1" x14ac:dyDescent="0.3">
      <c r="B367" s="42">
        <f t="shared" si="6"/>
        <v>40170</v>
      </c>
      <c r="D367" s="106">
        <v>19.9907</v>
      </c>
      <c r="E367" s="106">
        <v>36</v>
      </c>
      <c r="F367" s="106">
        <v>9.5</v>
      </c>
      <c r="G367" s="106">
        <v>0</v>
      </c>
      <c r="H367" s="120">
        <v>216</v>
      </c>
      <c r="I367" s="120">
        <v>4</v>
      </c>
      <c r="L367" s="22">
        <v>2009</v>
      </c>
      <c r="M367" s="22">
        <v>357</v>
      </c>
    </row>
    <row r="368" spans="2:13" s="22" customFormat="1" x14ac:dyDescent="0.3">
      <c r="B368" s="42">
        <f t="shared" si="6"/>
        <v>40171</v>
      </c>
      <c r="D368" s="106">
        <v>20.397400000000001</v>
      </c>
      <c r="E368" s="106">
        <v>37</v>
      </c>
      <c r="F368" s="106">
        <v>8.4</v>
      </c>
      <c r="G368" s="106">
        <v>0</v>
      </c>
      <c r="H368" s="120">
        <v>250.56</v>
      </c>
      <c r="I368" s="120">
        <v>4</v>
      </c>
      <c r="L368" s="22">
        <v>2009</v>
      </c>
      <c r="M368" s="22">
        <v>358</v>
      </c>
    </row>
    <row r="369" spans="2:13" s="22" customFormat="1" x14ac:dyDescent="0.3">
      <c r="B369" s="42">
        <f t="shared" si="6"/>
        <v>40172</v>
      </c>
      <c r="D369" s="106">
        <v>19.8809</v>
      </c>
      <c r="E369" s="106">
        <v>36.5</v>
      </c>
      <c r="F369" s="106">
        <v>10</v>
      </c>
      <c r="G369" s="106">
        <v>0</v>
      </c>
      <c r="H369" s="120">
        <v>267.83999999999997</v>
      </c>
      <c r="I369" s="120">
        <v>5</v>
      </c>
      <c r="L369" s="22">
        <v>2009</v>
      </c>
      <c r="M369" s="22">
        <v>359</v>
      </c>
    </row>
    <row r="370" spans="2:13" s="22" customFormat="1" x14ac:dyDescent="0.3">
      <c r="B370" s="42">
        <f t="shared" si="6"/>
        <v>40173</v>
      </c>
      <c r="D370" s="106">
        <v>20.026700000000002</v>
      </c>
      <c r="E370" s="106">
        <v>35.5</v>
      </c>
      <c r="F370" s="106">
        <v>9.5</v>
      </c>
      <c r="G370" s="106">
        <v>0</v>
      </c>
      <c r="H370" s="120">
        <v>328.32</v>
      </c>
      <c r="I370" s="120">
        <v>4</v>
      </c>
      <c r="L370" s="22">
        <v>2009</v>
      </c>
      <c r="M370" s="22">
        <v>360</v>
      </c>
    </row>
    <row r="371" spans="2:13" s="22" customFormat="1" x14ac:dyDescent="0.3">
      <c r="B371" s="42">
        <f t="shared" si="6"/>
        <v>40174</v>
      </c>
      <c r="D371" s="106">
        <v>19.909700000000001</v>
      </c>
      <c r="E371" s="106">
        <v>35.5</v>
      </c>
      <c r="F371" s="106">
        <v>8</v>
      </c>
      <c r="G371" s="106">
        <v>0</v>
      </c>
      <c r="H371" s="120">
        <v>311.04000000000002</v>
      </c>
      <c r="I371" s="120">
        <v>4</v>
      </c>
      <c r="L371" s="22">
        <v>2009</v>
      </c>
      <c r="M371" s="22">
        <v>361</v>
      </c>
    </row>
    <row r="372" spans="2:13" s="22" customFormat="1" x14ac:dyDescent="0.3">
      <c r="B372" s="42">
        <f t="shared" si="6"/>
        <v>40175</v>
      </c>
      <c r="D372" s="106">
        <v>19.926500000000001</v>
      </c>
      <c r="E372" s="106">
        <v>35</v>
      </c>
      <c r="F372" s="106">
        <v>7.5</v>
      </c>
      <c r="G372" s="106">
        <v>0</v>
      </c>
      <c r="H372" s="120">
        <v>285.12</v>
      </c>
      <c r="I372" s="120">
        <v>5</v>
      </c>
      <c r="L372" s="22">
        <v>2009</v>
      </c>
      <c r="M372" s="22">
        <v>362</v>
      </c>
    </row>
    <row r="373" spans="2:13" s="22" customFormat="1" x14ac:dyDescent="0.3">
      <c r="B373" s="42">
        <f t="shared" si="6"/>
        <v>40176</v>
      </c>
      <c r="D373" s="106">
        <v>19.8124</v>
      </c>
      <c r="E373" s="106">
        <v>35.5</v>
      </c>
      <c r="F373" s="106">
        <v>8</v>
      </c>
      <c r="G373" s="106">
        <v>0</v>
      </c>
      <c r="H373" s="120">
        <v>302.39999999999998</v>
      </c>
      <c r="I373" s="120">
        <v>7</v>
      </c>
      <c r="L373" s="22">
        <v>2009</v>
      </c>
      <c r="M373" s="22">
        <v>363</v>
      </c>
    </row>
    <row r="374" spans="2:13" s="22" customFormat="1" x14ac:dyDescent="0.3">
      <c r="B374" s="42">
        <f t="shared" si="6"/>
        <v>40177</v>
      </c>
      <c r="D374" s="106">
        <v>19.710999999999999</v>
      </c>
      <c r="E374" s="106">
        <v>35</v>
      </c>
      <c r="F374" s="106">
        <v>8</v>
      </c>
      <c r="G374" s="106">
        <v>0</v>
      </c>
      <c r="H374" s="120">
        <v>336.96</v>
      </c>
      <c r="I374" s="120">
        <v>7</v>
      </c>
      <c r="L374" s="22">
        <v>2009</v>
      </c>
      <c r="M374" s="22">
        <v>364</v>
      </c>
    </row>
    <row r="375" spans="2:13" s="22" customFormat="1" x14ac:dyDescent="0.3">
      <c r="B375" s="42">
        <f t="shared" si="6"/>
        <v>40178</v>
      </c>
      <c r="D375" s="106">
        <v>19.321899999999999</v>
      </c>
      <c r="E375" s="106">
        <v>35</v>
      </c>
      <c r="F375" s="106">
        <v>9.5</v>
      </c>
      <c r="G375" s="106">
        <v>0</v>
      </c>
      <c r="H375" s="120">
        <v>328.32</v>
      </c>
      <c r="I375" s="120">
        <v>5</v>
      </c>
      <c r="L375" s="22">
        <v>2009</v>
      </c>
      <c r="M375" s="22">
        <v>365</v>
      </c>
    </row>
    <row r="376" spans="2:13" s="22" customFormat="1" x14ac:dyDescent="0.3">
      <c r="B376" s="42">
        <f t="shared" si="6"/>
        <v>40179</v>
      </c>
      <c r="D376" s="106">
        <v>18.903300000000002</v>
      </c>
      <c r="E376" s="106">
        <v>35</v>
      </c>
      <c r="F376" s="106">
        <v>9.5</v>
      </c>
      <c r="G376" s="106">
        <v>0</v>
      </c>
      <c r="H376" s="120">
        <v>285.12</v>
      </c>
      <c r="I376" s="120">
        <v>7</v>
      </c>
      <c r="L376" s="22">
        <v>2010</v>
      </c>
      <c r="M376" s="22">
        <v>1</v>
      </c>
    </row>
    <row r="377" spans="2:13" s="22" customFormat="1" x14ac:dyDescent="0.3">
      <c r="B377" s="42">
        <f t="shared" si="6"/>
        <v>40180</v>
      </c>
      <c r="D377" s="106">
        <v>19.8537</v>
      </c>
      <c r="E377" s="106">
        <v>33.5</v>
      </c>
      <c r="F377" s="106">
        <v>8</v>
      </c>
      <c r="G377" s="106">
        <v>0</v>
      </c>
      <c r="H377" s="120">
        <v>285.12</v>
      </c>
      <c r="I377" s="120">
        <v>5</v>
      </c>
      <c r="L377" s="22">
        <v>2010</v>
      </c>
      <c r="M377" s="22">
        <v>2</v>
      </c>
    </row>
    <row r="378" spans="2:13" s="22" customFormat="1" x14ac:dyDescent="0.3">
      <c r="B378" s="42">
        <f t="shared" si="6"/>
        <v>40181</v>
      </c>
      <c r="D378" s="106">
        <v>19.876799999999999</v>
      </c>
      <c r="E378" s="106">
        <v>34</v>
      </c>
      <c r="F378" s="106">
        <v>7</v>
      </c>
      <c r="G378" s="106">
        <v>0</v>
      </c>
      <c r="H378" s="120">
        <v>311.04000000000002</v>
      </c>
      <c r="I378" s="120">
        <v>4</v>
      </c>
      <c r="L378" s="22">
        <v>2010</v>
      </c>
      <c r="M378" s="22">
        <v>3</v>
      </c>
    </row>
    <row r="379" spans="2:13" s="22" customFormat="1" x14ac:dyDescent="0.3">
      <c r="B379" s="42">
        <f t="shared" si="6"/>
        <v>40182</v>
      </c>
      <c r="D379" s="106">
        <v>20.1676</v>
      </c>
      <c r="E379" s="106">
        <v>34</v>
      </c>
      <c r="F379" s="106">
        <v>6</v>
      </c>
      <c r="G379" s="106">
        <v>0</v>
      </c>
      <c r="H379" s="120">
        <v>293.76</v>
      </c>
      <c r="I379" s="120">
        <v>5</v>
      </c>
      <c r="L379" s="22">
        <v>2010</v>
      </c>
      <c r="M379" s="22">
        <v>4</v>
      </c>
    </row>
    <row r="380" spans="2:13" s="22" customFormat="1" x14ac:dyDescent="0.3">
      <c r="B380" s="42">
        <f t="shared" si="6"/>
        <v>40183</v>
      </c>
      <c r="D380" s="106">
        <v>20.193999999999999</v>
      </c>
      <c r="E380" s="106">
        <v>34</v>
      </c>
      <c r="F380" s="106">
        <v>6.5</v>
      </c>
      <c r="G380" s="106">
        <v>0</v>
      </c>
      <c r="H380" s="120">
        <v>198.72</v>
      </c>
      <c r="I380" s="120">
        <v>4</v>
      </c>
      <c r="L380" s="22">
        <v>2010</v>
      </c>
      <c r="M380" s="22">
        <v>5</v>
      </c>
    </row>
    <row r="381" spans="2:13" s="22" customFormat="1" x14ac:dyDescent="0.3">
      <c r="B381" s="42">
        <f t="shared" si="6"/>
        <v>40184</v>
      </c>
      <c r="D381" s="106">
        <v>19.287700000000001</v>
      </c>
      <c r="E381" s="106">
        <v>34.5</v>
      </c>
      <c r="F381" s="106">
        <v>7.5</v>
      </c>
      <c r="G381" s="106">
        <v>0</v>
      </c>
      <c r="H381" s="120">
        <v>146.88</v>
      </c>
      <c r="I381" s="120">
        <v>4</v>
      </c>
      <c r="L381" s="22">
        <v>2010</v>
      </c>
      <c r="M381" s="22">
        <v>6</v>
      </c>
    </row>
    <row r="382" spans="2:13" s="22" customFormat="1" x14ac:dyDescent="0.3">
      <c r="B382" s="42">
        <f t="shared" si="6"/>
        <v>40185</v>
      </c>
      <c r="D382" s="106">
        <v>19.0486</v>
      </c>
      <c r="E382" s="106">
        <v>34.5</v>
      </c>
      <c r="F382" s="106">
        <v>8.5</v>
      </c>
      <c r="G382" s="106">
        <v>0</v>
      </c>
      <c r="H382" s="120">
        <v>181.44</v>
      </c>
      <c r="I382" s="120">
        <v>3</v>
      </c>
      <c r="L382" s="22">
        <v>2010</v>
      </c>
      <c r="M382" s="22">
        <v>7</v>
      </c>
    </row>
    <row r="383" spans="2:13" s="22" customFormat="1" x14ac:dyDescent="0.3">
      <c r="B383" s="42">
        <f t="shared" si="6"/>
        <v>40186</v>
      </c>
      <c r="D383" s="106">
        <v>20.014500000000002</v>
      </c>
      <c r="E383" s="106">
        <v>34.5</v>
      </c>
      <c r="F383" s="106">
        <v>8.5</v>
      </c>
      <c r="G383" s="106">
        <v>0</v>
      </c>
      <c r="H383" s="120">
        <v>285.12</v>
      </c>
      <c r="I383" s="120">
        <v>3</v>
      </c>
      <c r="L383" s="22">
        <v>2010</v>
      </c>
      <c r="M383" s="22">
        <v>8</v>
      </c>
    </row>
    <row r="384" spans="2:13" s="22" customFormat="1" x14ac:dyDescent="0.3">
      <c r="B384" s="42">
        <f t="shared" si="6"/>
        <v>40187</v>
      </c>
      <c r="D384" s="106">
        <v>20.046399999999998</v>
      </c>
      <c r="E384" s="106">
        <v>34.5</v>
      </c>
      <c r="F384" s="106">
        <v>7.5</v>
      </c>
      <c r="G384" s="106">
        <v>0</v>
      </c>
      <c r="H384" s="120">
        <v>302.39999999999998</v>
      </c>
      <c r="I384" s="120">
        <v>3</v>
      </c>
      <c r="L384" s="22">
        <v>2010</v>
      </c>
      <c r="M384" s="22">
        <v>9</v>
      </c>
    </row>
    <row r="385" spans="2:13" s="22" customFormat="1" x14ac:dyDescent="0.3">
      <c r="B385" s="42">
        <f t="shared" si="6"/>
        <v>40188</v>
      </c>
      <c r="D385" s="106">
        <v>20.079699999999999</v>
      </c>
      <c r="E385" s="106">
        <v>33</v>
      </c>
      <c r="F385" s="106">
        <v>7</v>
      </c>
      <c r="G385" s="106">
        <v>0</v>
      </c>
      <c r="H385" s="120">
        <v>276.48</v>
      </c>
      <c r="I385" s="120">
        <v>4</v>
      </c>
      <c r="L385" s="22">
        <v>2010</v>
      </c>
      <c r="M385" s="22">
        <v>10</v>
      </c>
    </row>
    <row r="386" spans="2:13" s="22" customFormat="1" x14ac:dyDescent="0.3">
      <c r="B386" s="42">
        <f t="shared" si="6"/>
        <v>40189</v>
      </c>
      <c r="D386" s="106">
        <v>19.3078</v>
      </c>
      <c r="E386" s="106">
        <v>34.25</v>
      </c>
      <c r="F386" s="106">
        <v>8.25</v>
      </c>
      <c r="G386" s="106">
        <v>0</v>
      </c>
      <c r="H386" s="120">
        <v>302.39999999999998</v>
      </c>
      <c r="I386" s="120">
        <v>5</v>
      </c>
      <c r="L386" s="22">
        <v>2010</v>
      </c>
      <c r="M386" s="22">
        <v>11</v>
      </c>
    </row>
    <row r="387" spans="2:13" s="22" customFormat="1" x14ac:dyDescent="0.3">
      <c r="B387" s="42">
        <f t="shared" si="6"/>
        <v>40190</v>
      </c>
      <c r="D387" s="106">
        <v>17.995999999999999</v>
      </c>
      <c r="E387" s="106">
        <v>34.5</v>
      </c>
      <c r="F387" s="106">
        <v>7.5</v>
      </c>
      <c r="G387" s="106">
        <v>0</v>
      </c>
      <c r="H387" s="120">
        <v>354.24</v>
      </c>
      <c r="I387" s="120">
        <v>4</v>
      </c>
      <c r="L387" s="22">
        <v>2010</v>
      </c>
      <c r="M387" s="22">
        <v>12</v>
      </c>
    </row>
    <row r="388" spans="2:13" s="22" customFormat="1" x14ac:dyDescent="0.3">
      <c r="B388" s="42">
        <f t="shared" si="6"/>
        <v>40191</v>
      </c>
      <c r="D388" s="106">
        <v>18.838899999999999</v>
      </c>
      <c r="E388" s="106">
        <v>34.75</v>
      </c>
      <c r="F388" s="106">
        <v>8.25</v>
      </c>
      <c r="G388" s="106">
        <v>0</v>
      </c>
      <c r="H388" s="120">
        <v>336.96</v>
      </c>
      <c r="I388" s="120">
        <v>5</v>
      </c>
      <c r="L388" s="22">
        <v>2010</v>
      </c>
      <c r="M388" s="22">
        <v>13</v>
      </c>
    </row>
    <row r="389" spans="2:13" s="22" customFormat="1" x14ac:dyDescent="0.3">
      <c r="B389" s="42">
        <f t="shared" si="6"/>
        <v>40192</v>
      </c>
      <c r="D389" s="106">
        <v>21.306999999999999</v>
      </c>
      <c r="E389" s="106">
        <v>34.75</v>
      </c>
      <c r="F389" s="106">
        <v>7.5</v>
      </c>
      <c r="G389" s="106">
        <v>0</v>
      </c>
      <c r="H389" s="120">
        <v>285.12</v>
      </c>
      <c r="I389" s="120">
        <v>4</v>
      </c>
      <c r="L389" s="22">
        <v>2010</v>
      </c>
      <c r="M389" s="22">
        <v>14</v>
      </c>
    </row>
    <row r="390" spans="2:13" s="22" customFormat="1" x14ac:dyDescent="0.3">
      <c r="B390" s="42">
        <f t="shared" si="6"/>
        <v>40193</v>
      </c>
      <c r="D390" s="106">
        <v>21.2134</v>
      </c>
      <c r="E390" s="106">
        <v>35.5</v>
      </c>
      <c r="F390" s="106">
        <v>7.5</v>
      </c>
      <c r="G390" s="106">
        <v>0</v>
      </c>
      <c r="H390" s="120">
        <v>276.48</v>
      </c>
      <c r="I390" s="120">
        <v>3</v>
      </c>
      <c r="L390" s="22">
        <v>2010</v>
      </c>
      <c r="M390" s="22">
        <v>15</v>
      </c>
    </row>
    <row r="391" spans="2:13" s="22" customFormat="1" x14ac:dyDescent="0.3">
      <c r="B391" s="42">
        <f t="shared" si="6"/>
        <v>40194</v>
      </c>
      <c r="D391" s="106">
        <v>21.2561</v>
      </c>
      <c r="E391" s="106">
        <v>36.5</v>
      </c>
      <c r="F391" s="106">
        <v>7.5</v>
      </c>
      <c r="G391" s="106">
        <v>0</v>
      </c>
      <c r="H391" s="120">
        <v>319.68</v>
      </c>
      <c r="I391" s="120">
        <v>3</v>
      </c>
      <c r="L391" s="22">
        <v>2010</v>
      </c>
      <c r="M391" s="22">
        <v>16</v>
      </c>
    </row>
    <row r="392" spans="2:13" s="22" customFormat="1" x14ac:dyDescent="0.3">
      <c r="B392" s="42">
        <f t="shared" si="6"/>
        <v>40195</v>
      </c>
      <c r="D392" s="106">
        <v>20.620899999999999</v>
      </c>
      <c r="E392" s="106">
        <v>36.5</v>
      </c>
      <c r="F392" s="106">
        <v>7.6</v>
      </c>
      <c r="G392" s="106">
        <v>0</v>
      </c>
      <c r="H392" s="120">
        <v>362.88</v>
      </c>
      <c r="I392" s="120">
        <v>3</v>
      </c>
      <c r="L392" s="22">
        <v>2010</v>
      </c>
      <c r="M392" s="22">
        <v>17</v>
      </c>
    </row>
    <row r="393" spans="2:13" s="22" customFormat="1" x14ac:dyDescent="0.3">
      <c r="B393" s="42">
        <f t="shared" si="6"/>
        <v>40196</v>
      </c>
      <c r="D393" s="106">
        <v>22.0258</v>
      </c>
      <c r="E393" s="106">
        <v>35.25</v>
      </c>
      <c r="F393" s="106">
        <v>8</v>
      </c>
      <c r="G393" s="106">
        <v>0</v>
      </c>
      <c r="H393" s="120">
        <v>354.24</v>
      </c>
      <c r="I393" s="120">
        <v>4</v>
      </c>
      <c r="L393" s="22">
        <v>2010</v>
      </c>
      <c r="M393" s="22">
        <v>18</v>
      </c>
    </row>
    <row r="394" spans="2:13" s="22" customFormat="1" x14ac:dyDescent="0.3">
      <c r="B394" s="42">
        <f t="shared" si="6"/>
        <v>40197</v>
      </c>
      <c r="D394" s="106">
        <v>19.482399999999998</v>
      </c>
      <c r="E394" s="106">
        <v>34.5</v>
      </c>
      <c r="F394" s="106">
        <v>10.5</v>
      </c>
      <c r="G394" s="106">
        <v>0</v>
      </c>
      <c r="H394" s="120">
        <v>354.24</v>
      </c>
      <c r="I394" s="120">
        <v>5</v>
      </c>
      <c r="L394" s="22">
        <v>2010</v>
      </c>
      <c r="M394" s="22">
        <v>19</v>
      </c>
    </row>
    <row r="395" spans="2:13" s="22" customFormat="1" x14ac:dyDescent="0.3">
      <c r="B395" s="42">
        <f t="shared" si="6"/>
        <v>40198</v>
      </c>
      <c r="D395" s="106">
        <v>21.575700000000001</v>
      </c>
      <c r="E395" s="106">
        <v>34.5</v>
      </c>
      <c r="F395" s="106">
        <v>6.5</v>
      </c>
      <c r="G395" s="106">
        <v>0</v>
      </c>
      <c r="H395" s="120">
        <v>345.6</v>
      </c>
      <c r="I395" s="120">
        <v>4</v>
      </c>
      <c r="L395" s="22">
        <v>2010</v>
      </c>
      <c r="M395" s="22">
        <v>20</v>
      </c>
    </row>
    <row r="396" spans="2:13" s="22" customFormat="1" x14ac:dyDescent="0.3">
      <c r="B396" s="42">
        <f t="shared" si="6"/>
        <v>40199</v>
      </c>
      <c r="D396" s="106">
        <v>21.761399999999998</v>
      </c>
      <c r="E396" s="106">
        <v>33.5</v>
      </c>
      <c r="F396" s="106">
        <v>6.6</v>
      </c>
      <c r="G396" s="106">
        <v>0</v>
      </c>
      <c r="H396" s="120">
        <v>311.04000000000002</v>
      </c>
      <c r="I396" s="120">
        <v>5</v>
      </c>
      <c r="L396" s="22">
        <v>2010</v>
      </c>
      <c r="M396" s="22">
        <v>21</v>
      </c>
    </row>
    <row r="397" spans="2:13" s="22" customFormat="1" x14ac:dyDescent="0.3">
      <c r="B397" s="42">
        <f t="shared" si="6"/>
        <v>40200</v>
      </c>
      <c r="D397" s="106">
        <v>20.164999999999999</v>
      </c>
      <c r="E397" s="106">
        <v>34.5</v>
      </c>
      <c r="F397" s="106">
        <v>8.5</v>
      </c>
      <c r="G397" s="106">
        <v>0</v>
      </c>
      <c r="H397" s="120">
        <v>285.12</v>
      </c>
      <c r="I397" s="120">
        <v>4</v>
      </c>
      <c r="L397" s="22">
        <v>2010</v>
      </c>
      <c r="M397" s="22">
        <v>22</v>
      </c>
    </row>
    <row r="398" spans="2:13" s="22" customFormat="1" x14ac:dyDescent="0.3">
      <c r="B398" s="42">
        <f t="shared" si="6"/>
        <v>40201</v>
      </c>
      <c r="D398" s="106">
        <v>21.725100000000001</v>
      </c>
      <c r="E398" s="106">
        <v>35</v>
      </c>
      <c r="F398" s="106">
        <v>8</v>
      </c>
      <c r="G398" s="106">
        <v>0</v>
      </c>
      <c r="H398" s="120">
        <v>285.12</v>
      </c>
      <c r="I398" s="120">
        <v>3</v>
      </c>
      <c r="L398" s="22">
        <v>2010</v>
      </c>
      <c r="M398" s="22">
        <v>23</v>
      </c>
    </row>
    <row r="399" spans="2:13" s="22" customFormat="1" x14ac:dyDescent="0.3">
      <c r="B399" s="42">
        <f t="shared" si="6"/>
        <v>40202</v>
      </c>
      <c r="D399" s="106">
        <v>21.638999999999999</v>
      </c>
      <c r="E399" s="106">
        <v>35.25</v>
      </c>
      <c r="F399" s="106">
        <v>9.5</v>
      </c>
      <c r="G399" s="106">
        <v>0</v>
      </c>
      <c r="H399" s="120">
        <v>293.76</v>
      </c>
      <c r="I399" s="120">
        <v>3</v>
      </c>
      <c r="L399" s="22">
        <v>2010</v>
      </c>
      <c r="M399" s="22">
        <v>24</v>
      </c>
    </row>
    <row r="400" spans="2:13" s="22" customFormat="1" x14ac:dyDescent="0.3">
      <c r="B400" s="42">
        <f t="shared" si="6"/>
        <v>40203</v>
      </c>
      <c r="D400" s="106">
        <v>19.2057</v>
      </c>
      <c r="E400" s="106">
        <v>34.75</v>
      </c>
      <c r="F400" s="106">
        <v>11</v>
      </c>
      <c r="G400" s="106">
        <v>0</v>
      </c>
      <c r="H400" s="120">
        <v>276.48</v>
      </c>
      <c r="I400" s="120">
        <v>3</v>
      </c>
      <c r="L400" s="22">
        <v>2010</v>
      </c>
      <c r="M400" s="22">
        <v>25</v>
      </c>
    </row>
    <row r="401" spans="2:13" s="22" customFormat="1" x14ac:dyDescent="0.3">
      <c r="B401" s="42">
        <f t="shared" si="6"/>
        <v>40204</v>
      </c>
      <c r="D401" s="106">
        <v>20.360700000000001</v>
      </c>
      <c r="E401" s="106">
        <v>34.25</v>
      </c>
      <c r="F401" s="106">
        <v>16.5</v>
      </c>
      <c r="G401" s="106">
        <v>0</v>
      </c>
      <c r="H401" s="120">
        <v>241.92</v>
      </c>
      <c r="I401" s="120">
        <v>4</v>
      </c>
      <c r="L401" s="22">
        <v>2010</v>
      </c>
      <c r="M401" s="22">
        <v>26</v>
      </c>
    </row>
    <row r="402" spans="2:13" s="22" customFormat="1" x14ac:dyDescent="0.3">
      <c r="B402" s="42">
        <f t="shared" si="6"/>
        <v>40205</v>
      </c>
      <c r="D402" s="106">
        <v>21.1052</v>
      </c>
      <c r="E402" s="106">
        <v>34.75</v>
      </c>
      <c r="F402" s="106">
        <v>12</v>
      </c>
      <c r="G402" s="106">
        <v>0</v>
      </c>
      <c r="H402" s="120">
        <v>181.44</v>
      </c>
      <c r="I402" s="120">
        <v>4</v>
      </c>
      <c r="L402" s="22">
        <v>2010</v>
      </c>
      <c r="M402" s="22">
        <v>27</v>
      </c>
    </row>
    <row r="403" spans="2:13" s="22" customFormat="1" x14ac:dyDescent="0.3">
      <c r="B403" s="42">
        <f t="shared" si="6"/>
        <v>40206</v>
      </c>
      <c r="D403" s="106">
        <v>16.848700000000001</v>
      </c>
      <c r="E403" s="106">
        <v>36.5</v>
      </c>
      <c r="F403" s="106">
        <v>16</v>
      </c>
      <c r="G403" s="106">
        <v>0</v>
      </c>
      <c r="H403" s="120">
        <v>181.44</v>
      </c>
      <c r="I403" s="120">
        <v>4</v>
      </c>
      <c r="L403" s="22">
        <v>2010</v>
      </c>
      <c r="M403" s="22">
        <v>28</v>
      </c>
    </row>
    <row r="404" spans="2:13" s="22" customFormat="1" x14ac:dyDescent="0.3">
      <c r="B404" s="42">
        <f t="shared" si="6"/>
        <v>40207</v>
      </c>
      <c r="D404" s="106">
        <v>15.7782</v>
      </c>
      <c r="E404" s="106">
        <v>37</v>
      </c>
      <c r="F404" s="106">
        <v>16.5</v>
      </c>
      <c r="G404" s="106">
        <v>0</v>
      </c>
      <c r="H404" s="120">
        <v>319.68</v>
      </c>
      <c r="I404" s="120">
        <v>4</v>
      </c>
      <c r="L404" s="22">
        <v>2010</v>
      </c>
      <c r="M404" s="22">
        <v>29</v>
      </c>
    </row>
    <row r="405" spans="2:13" s="22" customFormat="1" x14ac:dyDescent="0.3">
      <c r="B405" s="42">
        <f t="shared" si="6"/>
        <v>40208</v>
      </c>
      <c r="D405" s="106">
        <v>21.2669</v>
      </c>
      <c r="E405" s="106">
        <v>35.75</v>
      </c>
      <c r="F405" s="106">
        <v>12.4</v>
      </c>
      <c r="G405" s="106">
        <v>0</v>
      </c>
      <c r="H405" s="120">
        <v>345.6</v>
      </c>
      <c r="I405" s="120">
        <v>4</v>
      </c>
      <c r="L405" s="22">
        <v>2010</v>
      </c>
      <c r="M405" s="22">
        <v>30</v>
      </c>
    </row>
    <row r="406" spans="2:13" s="22" customFormat="1" x14ac:dyDescent="0.3">
      <c r="B406" s="42">
        <f t="shared" si="6"/>
        <v>40209</v>
      </c>
      <c r="D406" s="106">
        <v>22.162099999999999</v>
      </c>
      <c r="E406" s="106">
        <v>37</v>
      </c>
      <c r="F406" s="106">
        <v>10.5</v>
      </c>
      <c r="G406" s="106">
        <v>0</v>
      </c>
      <c r="H406" s="120">
        <v>345.6</v>
      </c>
      <c r="I406" s="120">
        <v>3</v>
      </c>
      <c r="L406" s="22">
        <v>2010</v>
      </c>
      <c r="M406" s="22">
        <v>31</v>
      </c>
    </row>
    <row r="407" spans="2:13" s="22" customFormat="1" x14ac:dyDescent="0.3">
      <c r="B407" s="42">
        <f t="shared" si="6"/>
        <v>40210</v>
      </c>
      <c r="D407" s="106">
        <v>21.2376</v>
      </c>
      <c r="E407" s="106">
        <v>36.5</v>
      </c>
      <c r="F407" s="106">
        <v>11</v>
      </c>
      <c r="G407" s="106">
        <v>0</v>
      </c>
      <c r="H407" s="120">
        <v>440.64</v>
      </c>
      <c r="I407" s="120">
        <v>5</v>
      </c>
      <c r="L407" s="22">
        <v>2010</v>
      </c>
      <c r="M407" s="22">
        <v>32</v>
      </c>
    </row>
    <row r="408" spans="2:13" s="22" customFormat="1" x14ac:dyDescent="0.3">
      <c r="B408" s="42">
        <f t="shared" si="6"/>
        <v>40211</v>
      </c>
      <c r="D408" s="106">
        <v>21.434200000000001</v>
      </c>
      <c r="E408" s="106">
        <v>36.75</v>
      </c>
      <c r="F408" s="106">
        <v>10</v>
      </c>
      <c r="G408" s="106">
        <v>0</v>
      </c>
      <c r="H408" s="120">
        <v>423.36</v>
      </c>
      <c r="I408" s="120">
        <v>6</v>
      </c>
      <c r="L408" s="22">
        <v>2010</v>
      </c>
      <c r="M408" s="22">
        <v>33</v>
      </c>
    </row>
    <row r="409" spans="2:13" s="22" customFormat="1" x14ac:dyDescent="0.3">
      <c r="B409" s="42">
        <f t="shared" si="6"/>
        <v>40212</v>
      </c>
      <c r="D409" s="106">
        <v>21.491</v>
      </c>
      <c r="E409" s="106">
        <v>37.25</v>
      </c>
      <c r="F409" s="106">
        <v>12.5</v>
      </c>
      <c r="G409" s="106">
        <v>0</v>
      </c>
      <c r="H409" s="120">
        <v>336.96</v>
      </c>
      <c r="I409" s="120">
        <v>3</v>
      </c>
      <c r="L409" s="22">
        <v>2010</v>
      </c>
      <c r="M409" s="22">
        <v>34</v>
      </c>
    </row>
    <row r="410" spans="2:13" s="22" customFormat="1" x14ac:dyDescent="0.3">
      <c r="B410" s="42">
        <f t="shared" si="6"/>
        <v>40213</v>
      </c>
      <c r="D410" s="106">
        <v>20.983000000000001</v>
      </c>
      <c r="E410" s="106">
        <v>38</v>
      </c>
      <c r="F410" s="106">
        <v>11.5</v>
      </c>
      <c r="G410" s="106">
        <v>0</v>
      </c>
      <c r="H410" s="120">
        <v>354.24</v>
      </c>
      <c r="I410" s="120">
        <v>4</v>
      </c>
      <c r="L410" s="22">
        <v>2010</v>
      </c>
      <c r="M410" s="22">
        <v>35</v>
      </c>
    </row>
    <row r="411" spans="2:13" s="22" customFormat="1" x14ac:dyDescent="0.3">
      <c r="B411" s="42">
        <f t="shared" si="6"/>
        <v>40214</v>
      </c>
      <c r="D411" s="106">
        <v>17.3567</v>
      </c>
      <c r="E411" s="106">
        <v>38.5</v>
      </c>
      <c r="F411" s="106">
        <v>13.5</v>
      </c>
      <c r="G411" s="106">
        <v>0</v>
      </c>
      <c r="H411" s="120">
        <v>406.08</v>
      </c>
      <c r="I411" s="120">
        <v>4</v>
      </c>
      <c r="L411" s="22">
        <v>2010</v>
      </c>
      <c r="M411" s="22">
        <v>36</v>
      </c>
    </row>
    <row r="412" spans="2:13" s="22" customFormat="1" x14ac:dyDescent="0.3">
      <c r="B412" s="42">
        <f t="shared" si="6"/>
        <v>40215</v>
      </c>
      <c r="D412" s="106">
        <v>22.3736</v>
      </c>
      <c r="E412" s="106">
        <v>37</v>
      </c>
      <c r="F412" s="106">
        <v>12</v>
      </c>
      <c r="G412" s="106">
        <v>0</v>
      </c>
      <c r="H412" s="120">
        <v>432</v>
      </c>
      <c r="I412" s="120">
        <v>6</v>
      </c>
      <c r="L412" s="22">
        <v>2010</v>
      </c>
      <c r="M412" s="22">
        <v>37</v>
      </c>
    </row>
    <row r="413" spans="2:13" s="22" customFormat="1" x14ac:dyDescent="0.3">
      <c r="B413" s="42">
        <f t="shared" si="6"/>
        <v>40216</v>
      </c>
      <c r="D413" s="106">
        <v>21.1526</v>
      </c>
      <c r="E413" s="106">
        <v>35.25</v>
      </c>
      <c r="F413" s="106">
        <v>10</v>
      </c>
      <c r="G413" s="106">
        <v>0</v>
      </c>
      <c r="H413" s="120">
        <v>311.04000000000002</v>
      </c>
      <c r="I413" s="120">
        <v>6</v>
      </c>
      <c r="L413" s="22">
        <v>2010</v>
      </c>
      <c r="M413" s="22">
        <v>38</v>
      </c>
    </row>
    <row r="414" spans="2:13" s="22" customFormat="1" x14ac:dyDescent="0.3">
      <c r="B414" s="42">
        <f t="shared" si="6"/>
        <v>40217</v>
      </c>
      <c r="D414" s="106">
        <v>21.7803</v>
      </c>
      <c r="E414" s="106">
        <v>35</v>
      </c>
      <c r="F414" s="106">
        <v>11.5</v>
      </c>
      <c r="G414" s="106">
        <v>0</v>
      </c>
      <c r="H414" s="120">
        <v>285.12</v>
      </c>
      <c r="I414" s="120">
        <v>5</v>
      </c>
      <c r="L414" s="22">
        <v>2010</v>
      </c>
      <c r="M414" s="22">
        <v>39</v>
      </c>
    </row>
    <row r="415" spans="2:13" s="22" customFormat="1" x14ac:dyDescent="0.3">
      <c r="B415" s="42">
        <f t="shared" si="6"/>
        <v>40218</v>
      </c>
      <c r="D415" s="106">
        <v>22.553899999999999</v>
      </c>
      <c r="E415" s="106">
        <v>35.950000000000003</v>
      </c>
      <c r="F415" s="106">
        <v>11</v>
      </c>
      <c r="G415" s="106">
        <v>0</v>
      </c>
      <c r="H415" s="120">
        <v>190.08</v>
      </c>
      <c r="I415" s="120">
        <v>3</v>
      </c>
      <c r="L415" s="22">
        <v>2010</v>
      </c>
      <c r="M415" s="22">
        <v>40</v>
      </c>
    </row>
    <row r="416" spans="2:13" s="22" customFormat="1" x14ac:dyDescent="0.3">
      <c r="B416" s="42">
        <f t="shared" si="6"/>
        <v>40219</v>
      </c>
      <c r="D416" s="106">
        <v>22.6143</v>
      </c>
      <c r="E416" s="106">
        <v>37</v>
      </c>
      <c r="F416" s="106">
        <v>12</v>
      </c>
      <c r="G416" s="106">
        <v>0</v>
      </c>
      <c r="H416" s="120">
        <v>181.44</v>
      </c>
      <c r="I416" s="120">
        <v>4</v>
      </c>
      <c r="L416" s="22">
        <v>2010</v>
      </c>
      <c r="M416" s="22">
        <v>41</v>
      </c>
    </row>
    <row r="417" spans="2:13" s="22" customFormat="1" x14ac:dyDescent="0.3">
      <c r="B417" s="42">
        <f t="shared" si="6"/>
        <v>40220</v>
      </c>
      <c r="D417" s="106">
        <v>22.674800000000001</v>
      </c>
      <c r="E417" s="106">
        <v>37.5</v>
      </c>
      <c r="F417" s="106">
        <v>14</v>
      </c>
      <c r="G417" s="106">
        <v>0</v>
      </c>
      <c r="H417" s="120">
        <v>224.64</v>
      </c>
      <c r="I417" s="120">
        <v>3</v>
      </c>
      <c r="L417" s="22">
        <v>2010</v>
      </c>
      <c r="M417" s="22">
        <v>42</v>
      </c>
    </row>
    <row r="418" spans="2:13" s="22" customFormat="1" x14ac:dyDescent="0.3">
      <c r="B418" s="42">
        <f t="shared" si="6"/>
        <v>40221</v>
      </c>
      <c r="D418" s="106">
        <v>22.735399999999998</v>
      </c>
      <c r="E418" s="106">
        <v>37.25</v>
      </c>
      <c r="F418" s="106">
        <v>13</v>
      </c>
      <c r="G418" s="106">
        <v>0</v>
      </c>
      <c r="H418" s="120">
        <v>112.32</v>
      </c>
      <c r="I418" s="120">
        <v>11</v>
      </c>
      <c r="L418" s="22">
        <v>2010</v>
      </c>
      <c r="M418" s="22">
        <v>43</v>
      </c>
    </row>
    <row r="419" spans="2:13" s="22" customFormat="1" x14ac:dyDescent="0.3">
      <c r="B419" s="42">
        <f t="shared" si="6"/>
        <v>40222</v>
      </c>
      <c r="D419" s="106">
        <v>20.197800000000001</v>
      </c>
      <c r="E419" s="106">
        <v>37.25</v>
      </c>
      <c r="F419" s="106">
        <v>16.5</v>
      </c>
      <c r="G419" s="106">
        <v>0</v>
      </c>
      <c r="H419" s="120">
        <v>120.96</v>
      </c>
      <c r="I419" s="120">
        <v>39</v>
      </c>
      <c r="L419" s="22">
        <v>2010</v>
      </c>
      <c r="M419" s="22">
        <v>44</v>
      </c>
    </row>
    <row r="420" spans="2:13" s="22" customFormat="1" x14ac:dyDescent="0.3">
      <c r="B420" s="42">
        <f t="shared" si="6"/>
        <v>40223</v>
      </c>
      <c r="D420" s="106">
        <v>22.856400000000001</v>
      </c>
      <c r="E420" s="106">
        <v>36.75</v>
      </c>
      <c r="F420" s="106">
        <v>19.25</v>
      </c>
      <c r="G420" s="106">
        <v>0</v>
      </c>
      <c r="H420" s="120">
        <v>112.32</v>
      </c>
      <c r="I420" s="120">
        <v>19</v>
      </c>
      <c r="L420" s="22">
        <v>2010</v>
      </c>
      <c r="M420" s="22">
        <v>45</v>
      </c>
    </row>
    <row r="421" spans="2:13" s="22" customFormat="1" x14ac:dyDescent="0.3">
      <c r="B421" s="42">
        <f t="shared" si="6"/>
        <v>40224</v>
      </c>
      <c r="D421" s="106">
        <v>20.016500000000001</v>
      </c>
      <c r="E421" s="106">
        <v>37.75</v>
      </c>
      <c r="F421" s="106">
        <v>18.55</v>
      </c>
      <c r="G421" s="106">
        <v>0</v>
      </c>
      <c r="H421" s="120">
        <v>112.32</v>
      </c>
      <c r="I421" s="120">
        <v>7</v>
      </c>
      <c r="L421" s="22">
        <v>2010</v>
      </c>
      <c r="M421" s="22">
        <v>46</v>
      </c>
    </row>
    <row r="422" spans="2:13" s="22" customFormat="1" x14ac:dyDescent="0.3">
      <c r="B422" s="42">
        <f t="shared" si="6"/>
        <v>40225</v>
      </c>
      <c r="D422" s="106">
        <v>22.977</v>
      </c>
      <c r="E422" s="106">
        <v>37</v>
      </c>
      <c r="F422" s="106">
        <v>19.5</v>
      </c>
      <c r="G422" s="106">
        <v>0</v>
      </c>
      <c r="H422" s="120">
        <v>181.44</v>
      </c>
      <c r="I422" s="120">
        <v>8</v>
      </c>
      <c r="L422" s="22">
        <v>2010</v>
      </c>
      <c r="M422" s="22">
        <v>47</v>
      </c>
    </row>
    <row r="423" spans="2:13" s="22" customFormat="1" x14ac:dyDescent="0.3">
      <c r="B423" s="42">
        <f t="shared" si="6"/>
        <v>40226</v>
      </c>
      <c r="D423" s="106">
        <v>23.328399999999998</v>
      </c>
      <c r="E423" s="106">
        <v>38.25</v>
      </c>
      <c r="F423" s="106">
        <v>16.5</v>
      </c>
      <c r="G423" s="106">
        <v>0</v>
      </c>
      <c r="H423" s="120">
        <v>276.48</v>
      </c>
      <c r="I423" s="120">
        <v>3</v>
      </c>
      <c r="L423" s="22">
        <v>2010</v>
      </c>
      <c r="M423" s="22">
        <v>48</v>
      </c>
    </row>
    <row r="424" spans="2:13" s="22" customFormat="1" x14ac:dyDescent="0.3">
      <c r="B424" s="42">
        <f t="shared" si="6"/>
        <v>40227</v>
      </c>
      <c r="D424" s="106">
        <v>23.096800000000002</v>
      </c>
      <c r="E424" s="106">
        <v>40.450000000000003</v>
      </c>
      <c r="F424" s="106">
        <v>19</v>
      </c>
      <c r="G424" s="106">
        <v>0</v>
      </c>
      <c r="H424" s="120">
        <v>181.44</v>
      </c>
      <c r="I424" s="120">
        <v>16</v>
      </c>
      <c r="L424" s="22">
        <v>2010</v>
      </c>
      <c r="M424" s="22">
        <v>49</v>
      </c>
    </row>
    <row r="425" spans="2:13" s="22" customFormat="1" x14ac:dyDescent="0.3">
      <c r="B425" s="42">
        <f t="shared" si="6"/>
        <v>40228</v>
      </c>
      <c r="D425" s="106">
        <v>21.839200000000002</v>
      </c>
      <c r="E425" s="106">
        <v>40.25</v>
      </c>
      <c r="F425" s="106">
        <v>18.5</v>
      </c>
      <c r="G425" s="106">
        <v>0</v>
      </c>
      <c r="H425" s="120">
        <v>60.48</v>
      </c>
      <c r="I425" s="120">
        <v>29</v>
      </c>
      <c r="L425" s="22">
        <v>2010</v>
      </c>
      <c r="M425" s="22">
        <v>50</v>
      </c>
    </row>
    <row r="426" spans="2:13" s="22" customFormat="1" x14ac:dyDescent="0.3">
      <c r="B426" s="42">
        <f t="shared" si="6"/>
        <v>40229</v>
      </c>
      <c r="D426" s="106">
        <v>21.162099999999999</v>
      </c>
      <c r="E426" s="106">
        <v>39.5</v>
      </c>
      <c r="F426" s="106">
        <v>20</v>
      </c>
      <c r="G426" s="106">
        <v>0</v>
      </c>
      <c r="H426" s="120">
        <v>259.2</v>
      </c>
      <c r="I426" s="120">
        <v>7</v>
      </c>
      <c r="L426" s="22">
        <v>2010</v>
      </c>
      <c r="M426" s="22">
        <v>51</v>
      </c>
    </row>
    <row r="427" spans="2:13" s="22" customFormat="1" x14ac:dyDescent="0.3">
      <c r="B427" s="42">
        <f t="shared" ref="B427:B490" si="7">DATE(L427-1,12,31)+M427</f>
        <v>40230</v>
      </c>
      <c r="D427" s="106">
        <v>21.804200000000002</v>
      </c>
      <c r="E427" s="106">
        <v>40</v>
      </c>
      <c r="F427" s="106">
        <v>19</v>
      </c>
      <c r="G427" s="106">
        <v>0</v>
      </c>
      <c r="H427" s="120">
        <v>345.6</v>
      </c>
      <c r="I427" s="120">
        <v>6</v>
      </c>
      <c r="L427" s="22">
        <v>2010</v>
      </c>
      <c r="M427" s="22">
        <v>52</v>
      </c>
    </row>
    <row r="428" spans="2:13" s="22" customFormat="1" x14ac:dyDescent="0.3">
      <c r="B428" s="42">
        <f t="shared" si="7"/>
        <v>40231</v>
      </c>
      <c r="D428" s="106">
        <v>23.3323</v>
      </c>
      <c r="E428" s="106">
        <v>41</v>
      </c>
      <c r="F428" s="106">
        <v>16.5</v>
      </c>
      <c r="G428" s="106">
        <v>0</v>
      </c>
      <c r="H428" s="120">
        <v>336.96</v>
      </c>
      <c r="I428" s="120">
        <v>3</v>
      </c>
      <c r="L428" s="22">
        <v>2010</v>
      </c>
      <c r="M428" s="22">
        <v>53</v>
      </c>
    </row>
    <row r="429" spans="2:13" s="22" customFormat="1" x14ac:dyDescent="0.3">
      <c r="B429" s="42">
        <f t="shared" si="7"/>
        <v>40232</v>
      </c>
      <c r="D429" s="106">
        <v>23.537700000000001</v>
      </c>
      <c r="E429" s="106">
        <v>42</v>
      </c>
      <c r="F429" s="106">
        <v>16.5</v>
      </c>
      <c r="G429" s="106">
        <v>0</v>
      </c>
      <c r="H429" s="120">
        <v>216</v>
      </c>
      <c r="I429" s="120">
        <v>6</v>
      </c>
      <c r="L429" s="22">
        <v>2010</v>
      </c>
      <c r="M429" s="22">
        <v>54</v>
      </c>
    </row>
    <row r="430" spans="2:13" s="22" customFormat="1" x14ac:dyDescent="0.3">
      <c r="B430" s="42">
        <f t="shared" si="7"/>
        <v>40233</v>
      </c>
      <c r="D430" s="106">
        <v>23.595199999999998</v>
      </c>
      <c r="E430" s="106">
        <v>42</v>
      </c>
      <c r="F430" s="106">
        <v>17.5</v>
      </c>
      <c r="G430" s="106">
        <v>0</v>
      </c>
      <c r="H430" s="120">
        <v>371.52</v>
      </c>
      <c r="I430" s="120">
        <v>4</v>
      </c>
      <c r="L430" s="22">
        <v>2010</v>
      </c>
      <c r="M430" s="22">
        <v>55</v>
      </c>
    </row>
    <row r="431" spans="2:13" s="22" customFormat="1" x14ac:dyDescent="0.3">
      <c r="B431" s="42">
        <f t="shared" si="7"/>
        <v>40234</v>
      </c>
      <c r="D431" s="106">
        <v>22.911100000000001</v>
      </c>
      <c r="E431" s="106">
        <v>41.5</v>
      </c>
      <c r="F431" s="106">
        <v>15.25</v>
      </c>
      <c r="G431" s="106">
        <v>0</v>
      </c>
      <c r="H431" s="120">
        <v>354.24</v>
      </c>
      <c r="I431" s="120">
        <v>4</v>
      </c>
      <c r="L431" s="22">
        <v>2010</v>
      </c>
      <c r="M431" s="22">
        <v>56</v>
      </c>
    </row>
    <row r="432" spans="2:13" s="22" customFormat="1" x14ac:dyDescent="0.3">
      <c r="B432" s="42">
        <f t="shared" si="7"/>
        <v>40235</v>
      </c>
      <c r="D432" s="106">
        <v>23.708600000000001</v>
      </c>
      <c r="E432" s="106">
        <v>41</v>
      </c>
      <c r="F432" s="106">
        <v>15</v>
      </c>
      <c r="G432" s="106">
        <v>0</v>
      </c>
      <c r="H432" s="120">
        <v>155.52000000000001</v>
      </c>
      <c r="I432" s="120">
        <v>13</v>
      </c>
      <c r="L432" s="22">
        <v>2010</v>
      </c>
      <c r="M432" s="22">
        <v>57</v>
      </c>
    </row>
    <row r="433" spans="2:13" s="22" customFormat="1" x14ac:dyDescent="0.3">
      <c r="B433" s="42">
        <f t="shared" si="7"/>
        <v>40236</v>
      </c>
      <c r="D433" s="106">
        <v>23.764299999999999</v>
      </c>
      <c r="E433" s="106">
        <v>41.5</v>
      </c>
      <c r="F433" s="106">
        <v>18.5</v>
      </c>
      <c r="G433" s="106">
        <v>0</v>
      </c>
      <c r="H433" s="120">
        <v>207.36</v>
      </c>
      <c r="I433" s="120">
        <v>16</v>
      </c>
      <c r="L433" s="22">
        <v>2010</v>
      </c>
      <c r="M433" s="22">
        <v>58</v>
      </c>
    </row>
    <row r="434" spans="2:13" s="22" customFormat="1" x14ac:dyDescent="0.3">
      <c r="B434" s="42">
        <f t="shared" si="7"/>
        <v>40237</v>
      </c>
      <c r="D434" s="106">
        <v>22.4772</v>
      </c>
      <c r="E434" s="106">
        <v>41</v>
      </c>
      <c r="F434" s="106">
        <v>21.5</v>
      </c>
      <c r="G434" s="106">
        <v>0</v>
      </c>
      <c r="H434" s="120">
        <v>207.36</v>
      </c>
      <c r="I434" s="120">
        <v>17</v>
      </c>
      <c r="L434" s="22">
        <v>2010</v>
      </c>
      <c r="M434" s="22">
        <v>59</v>
      </c>
    </row>
    <row r="435" spans="2:13" s="22" customFormat="1" x14ac:dyDescent="0.3">
      <c r="B435" s="42">
        <f t="shared" si="7"/>
        <v>40238</v>
      </c>
      <c r="D435" s="106">
        <v>20.287800000000001</v>
      </c>
      <c r="E435" s="106">
        <v>41.25</v>
      </c>
      <c r="F435" s="106">
        <v>20.6</v>
      </c>
      <c r="G435" s="106">
        <v>0</v>
      </c>
      <c r="H435" s="120">
        <v>233.28</v>
      </c>
      <c r="I435" s="120">
        <v>17</v>
      </c>
      <c r="L435" s="22">
        <v>2010</v>
      </c>
      <c r="M435" s="22">
        <v>60</v>
      </c>
    </row>
    <row r="436" spans="2:13" s="22" customFormat="1" x14ac:dyDescent="0.3">
      <c r="B436" s="42">
        <f t="shared" si="7"/>
        <v>40239</v>
      </c>
      <c r="D436" s="106">
        <v>21.981000000000002</v>
      </c>
      <c r="E436" s="106">
        <v>41</v>
      </c>
      <c r="F436" s="106">
        <v>18.5</v>
      </c>
      <c r="G436" s="106">
        <v>0</v>
      </c>
      <c r="H436" s="120">
        <v>250.56</v>
      </c>
      <c r="I436" s="120">
        <v>20</v>
      </c>
      <c r="L436" s="22">
        <v>2010</v>
      </c>
      <c r="M436" s="22">
        <v>61</v>
      </c>
    </row>
    <row r="437" spans="2:13" s="22" customFormat="1" x14ac:dyDescent="0.3">
      <c r="B437" s="42">
        <f t="shared" si="7"/>
        <v>40240</v>
      </c>
      <c r="D437" s="106">
        <v>22.33</v>
      </c>
      <c r="E437" s="106">
        <v>40.5</v>
      </c>
      <c r="F437" s="106">
        <v>19.5</v>
      </c>
      <c r="G437" s="106">
        <v>0</v>
      </c>
      <c r="H437" s="120">
        <v>120.96</v>
      </c>
      <c r="I437" s="120">
        <v>17</v>
      </c>
      <c r="L437" s="22">
        <v>2010</v>
      </c>
      <c r="M437" s="22">
        <v>62</v>
      </c>
    </row>
    <row r="438" spans="2:13" s="22" customFormat="1" x14ac:dyDescent="0.3">
      <c r="B438" s="42">
        <f t="shared" si="7"/>
        <v>40241</v>
      </c>
      <c r="D438" s="106">
        <v>20.576000000000001</v>
      </c>
      <c r="E438" s="106">
        <v>41.5</v>
      </c>
      <c r="F438" s="106">
        <v>17.5</v>
      </c>
      <c r="G438" s="106">
        <v>0</v>
      </c>
      <c r="H438" s="120">
        <v>233.28</v>
      </c>
      <c r="I438" s="120">
        <v>7</v>
      </c>
      <c r="L438" s="22">
        <v>2010</v>
      </c>
      <c r="M438" s="22">
        <v>63</v>
      </c>
    </row>
    <row r="439" spans="2:13" s="22" customFormat="1" x14ac:dyDescent="0.3">
      <c r="B439" s="42">
        <f t="shared" si="7"/>
        <v>40242</v>
      </c>
      <c r="D439" s="106">
        <v>20.921800000000001</v>
      </c>
      <c r="E439" s="106">
        <v>40.5</v>
      </c>
      <c r="F439" s="106">
        <v>18.5</v>
      </c>
      <c r="G439" s="106">
        <v>0</v>
      </c>
      <c r="H439" s="120">
        <v>120.96</v>
      </c>
      <c r="I439" s="120">
        <v>19</v>
      </c>
      <c r="L439" s="22">
        <v>2010</v>
      </c>
      <c r="M439" s="22">
        <v>64</v>
      </c>
    </row>
    <row r="440" spans="2:13" s="22" customFormat="1" x14ac:dyDescent="0.3">
      <c r="B440" s="42">
        <f t="shared" si="7"/>
        <v>40243</v>
      </c>
      <c r="D440" s="106">
        <v>21.117100000000001</v>
      </c>
      <c r="E440" s="106">
        <v>40.25</v>
      </c>
      <c r="F440" s="106">
        <v>19.5</v>
      </c>
      <c r="G440" s="106">
        <v>0</v>
      </c>
      <c r="H440" s="120">
        <v>172.8</v>
      </c>
      <c r="I440" s="120">
        <v>31</v>
      </c>
      <c r="L440" s="22">
        <v>2010</v>
      </c>
      <c r="M440" s="22">
        <v>65</v>
      </c>
    </row>
    <row r="441" spans="2:13" s="22" customFormat="1" x14ac:dyDescent="0.3">
      <c r="B441" s="42">
        <f t="shared" si="7"/>
        <v>40244</v>
      </c>
      <c r="D441" s="106">
        <v>21.614000000000001</v>
      </c>
      <c r="E441" s="106">
        <v>41</v>
      </c>
      <c r="F441" s="106">
        <v>24.5</v>
      </c>
      <c r="G441" s="106">
        <v>0</v>
      </c>
      <c r="H441" s="120">
        <v>146.88</v>
      </c>
      <c r="I441" s="120">
        <v>32</v>
      </c>
      <c r="L441" s="22">
        <v>2010</v>
      </c>
      <c r="M441" s="22">
        <v>66</v>
      </c>
    </row>
    <row r="442" spans="2:13" s="22" customFormat="1" x14ac:dyDescent="0.3">
      <c r="B442" s="42">
        <f t="shared" si="7"/>
        <v>40245</v>
      </c>
      <c r="D442" s="106">
        <v>19.540299999999998</v>
      </c>
      <c r="E442" s="106">
        <v>40.25</v>
      </c>
      <c r="F442" s="106">
        <v>19.5</v>
      </c>
      <c r="G442" s="106">
        <v>0</v>
      </c>
      <c r="H442" s="120">
        <v>51.84</v>
      </c>
      <c r="I442" s="120">
        <v>6</v>
      </c>
      <c r="L442" s="22">
        <v>2010</v>
      </c>
      <c r="M442" s="22">
        <v>67</v>
      </c>
    </row>
    <row r="443" spans="2:13" s="22" customFormat="1" x14ac:dyDescent="0.3">
      <c r="B443" s="42">
        <f t="shared" si="7"/>
        <v>40246</v>
      </c>
      <c r="D443" s="106">
        <v>21.8522</v>
      </c>
      <c r="E443" s="106">
        <v>40.25</v>
      </c>
      <c r="F443" s="106">
        <v>19.5</v>
      </c>
      <c r="G443" s="106">
        <v>0</v>
      </c>
      <c r="H443" s="120">
        <v>120.96</v>
      </c>
      <c r="I443" s="120">
        <v>8</v>
      </c>
      <c r="L443" s="22">
        <v>2010</v>
      </c>
      <c r="M443" s="22">
        <v>68</v>
      </c>
    </row>
    <row r="444" spans="2:13" s="22" customFormat="1" x14ac:dyDescent="0.3">
      <c r="B444" s="42">
        <f t="shared" si="7"/>
        <v>40247</v>
      </c>
      <c r="D444" s="106">
        <v>22.8047</v>
      </c>
      <c r="E444" s="106">
        <v>39.5</v>
      </c>
      <c r="F444" s="106">
        <v>17.5</v>
      </c>
      <c r="G444" s="106">
        <v>0</v>
      </c>
      <c r="H444" s="120">
        <v>103.68</v>
      </c>
      <c r="I444" s="120">
        <v>5</v>
      </c>
      <c r="L444" s="22">
        <v>2010</v>
      </c>
      <c r="M444" s="22">
        <v>69</v>
      </c>
    </row>
    <row r="445" spans="2:13" s="22" customFormat="1" x14ac:dyDescent="0.3">
      <c r="B445" s="42">
        <f t="shared" si="7"/>
        <v>40248</v>
      </c>
      <c r="D445" s="106">
        <v>17.377300000000002</v>
      </c>
      <c r="E445" s="106">
        <v>38.5</v>
      </c>
      <c r="F445" s="106">
        <v>20.5</v>
      </c>
      <c r="G445" s="106">
        <v>0</v>
      </c>
      <c r="H445" s="120">
        <v>120.96</v>
      </c>
      <c r="I445" s="120">
        <v>8</v>
      </c>
      <c r="L445" s="22">
        <v>2010</v>
      </c>
      <c r="M445" s="22">
        <v>70</v>
      </c>
    </row>
    <row r="446" spans="2:13" s="22" customFormat="1" x14ac:dyDescent="0.3">
      <c r="B446" s="42">
        <f t="shared" si="7"/>
        <v>40249</v>
      </c>
      <c r="D446" s="106">
        <v>15.1287</v>
      </c>
      <c r="E446" s="106">
        <v>39</v>
      </c>
      <c r="F446" s="106">
        <v>19.75</v>
      </c>
      <c r="G446" s="106">
        <v>0</v>
      </c>
      <c r="H446" s="120">
        <v>181.44</v>
      </c>
      <c r="I446" s="120">
        <v>6</v>
      </c>
      <c r="L446" s="22">
        <v>2010</v>
      </c>
      <c r="M446" s="22">
        <v>71</v>
      </c>
    </row>
    <row r="447" spans="2:13" s="22" customFormat="1" x14ac:dyDescent="0.3">
      <c r="B447" s="42">
        <f t="shared" si="7"/>
        <v>40250</v>
      </c>
      <c r="D447" s="106">
        <v>24.452999999999999</v>
      </c>
      <c r="E447" s="106">
        <v>38.5</v>
      </c>
      <c r="F447" s="106">
        <v>21.5</v>
      </c>
      <c r="G447" s="106">
        <v>0</v>
      </c>
      <c r="H447" s="120">
        <v>267.83999999999997</v>
      </c>
      <c r="I447" s="120">
        <v>5</v>
      </c>
      <c r="L447" s="22">
        <v>2010</v>
      </c>
      <c r="M447" s="22">
        <v>72</v>
      </c>
    </row>
    <row r="448" spans="2:13" s="22" customFormat="1" x14ac:dyDescent="0.3">
      <c r="B448" s="42">
        <f t="shared" si="7"/>
        <v>40251</v>
      </c>
      <c r="D448" s="106">
        <v>24.494299999999999</v>
      </c>
      <c r="E448" s="106">
        <v>38.5</v>
      </c>
      <c r="F448" s="106">
        <v>17.5</v>
      </c>
      <c r="G448" s="106">
        <v>0</v>
      </c>
      <c r="H448" s="120">
        <v>198.72</v>
      </c>
      <c r="I448" s="120">
        <v>5</v>
      </c>
      <c r="L448" s="22">
        <v>2010</v>
      </c>
      <c r="M448" s="22">
        <v>73</v>
      </c>
    </row>
    <row r="449" spans="2:13" s="22" customFormat="1" x14ac:dyDescent="0.3">
      <c r="B449" s="42">
        <f t="shared" si="7"/>
        <v>40252</v>
      </c>
      <c r="D449" s="106">
        <v>24.992899999999999</v>
      </c>
      <c r="E449" s="106">
        <v>40</v>
      </c>
      <c r="F449" s="106">
        <v>17.5</v>
      </c>
      <c r="G449" s="106">
        <v>0</v>
      </c>
      <c r="H449" s="120">
        <v>164.16</v>
      </c>
      <c r="I449" s="120">
        <v>5</v>
      </c>
      <c r="L449" s="22">
        <v>2010</v>
      </c>
      <c r="M449" s="22">
        <v>74</v>
      </c>
    </row>
    <row r="450" spans="2:13" s="22" customFormat="1" x14ac:dyDescent="0.3">
      <c r="B450" s="42">
        <f t="shared" si="7"/>
        <v>40253</v>
      </c>
      <c r="D450" s="106">
        <v>23.808800000000002</v>
      </c>
      <c r="E450" s="106">
        <v>40.5</v>
      </c>
      <c r="F450" s="106">
        <v>17.25</v>
      </c>
      <c r="G450" s="106">
        <v>0</v>
      </c>
      <c r="H450" s="120">
        <v>259.2</v>
      </c>
      <c r="I450" s="120">
        <v>4</v>
      </c>
      <c r="L450" s="22">
        <v>2010</v>
      </c>
      <c r="M450" s="22">
        <v>75</v>
      </c>
    </row>
    <row r="451" spans="2:13" s="22" customFormat="1" x14ac:dyDescent="0.3">
      <c r="B451" s="42">
        <f t="shared" si="7"/>
        <v>40254</v>
      </c>
      <c r="D451" s="106">
        <v>22.773800000000001</v>
      </c>
      <c r="E451" s="106">
        <v>38</v>
      </c>
      <c r="F451" s="106">
        <v>19</v>
      </c>
      <c r="G451" s="106">
        <v>0</v>
      </c>
      <c r="H451" s="120">
        <v>302.39999999999998</v>
      </c>
      <c r="I451" s="120">
        <v>3</v>
      </c>
      <c r="L451" s="22">
        <v>2010</v>
      </c>
      <c r="M451" s="22">
        <v>76</v>
      </c>
    </row>
    <row r="452" spans="2:13" s="22" customFormat="1" x14ac:dyDescent="0.3">
      <c r="B452" s="42">
        <f t="shared" si="7"/>
        <v>40255</v>
      </c>
      <c r="D452" s="106">
        <v>21.275200000000002</v>
      </c>
      <c r="E452" s="106">
        <v>37.25</v>
      </c>
      <c r="F452" s="106">
        <v>17.5</v>
      </c>
      <c r="G452" s="106">
        <v>0</v>
      </c>
      <c r="H452" s="120">
        <v>293.76</v>
      </c>
      <c r="I452" s="120">
        <v>3</v>
      </c>
      <c r="L452" s="22">
        <v>2010</v>
      </c>
      <c r="M452" s="22">
        <v>77</v>
      </c>
    </row>
    <row r="453" spans="2:13" s="22" customFormat="1" x14ac:dyDescent="0.3">
      <c r="B453" s="42">
        <f t="shared" si="7"/>
        <v>40256</v>
      </c>
      <c r="D453" s="106">
        <v>20.693000000000001</v>
      </c>
      <c r="E453" s="106">
        <v>39</v>
      </c>
      <c r="F453" s="106">
        <v>18</v>
      </c>
      <c r="G453" s="106">
        <v>0</v>
      </c>
      <c r="H453" s="120">
        <v>311.04000000000002</v>
      </c>
      <c r="I453" s="120">
        <v>4</v>
      </c>
      <c r="L453" s="22">
        <v>2010</v>
      </c>
      <c r="M453" s="22">
        <v>78</v>
      </c>
    </row>
    <row r="454" spans="2:13" s="22" customFormat="1" x14ac:dyDescent="0.3">
      <c r="B454" s="42">
        <f t="shared" si="7"/>
        <v>40257</v>
      </c>
      <c r="D454" s="106">
        <v>12.888299999999999</v>
      </c>
      <c r="E454" s="106">
        <v>40.25</v>
      </c>
      <c r="F454" s="106">
        <v>29</v>
      </c>
      <c r="G454" s="106">
        <v>0</v>
      </c>
      <c r="H454" s="120">
        <v>267.83999999999997</v>
      </c>
      <c r="I454" s="120">
        <v>17</v>
      </c>
      <c r="L454" s="22">
        <v>2010</v>
      </c>
      <c r="M454" s="22">
        <v>79</v>
      </c>
    </row>
    <row r="455" spans="2:13" s="22" customFormat="1" x14ac:dyDescent="0.3">
      <c r="B455" s="42">
        <f t="shared" si="7"/>
        <v>40258</v>
      </c>
      <c r="D455" s="106">
        <v>11.064500000000001</v>
      </c>
      <c r="E455" s="106">
        <v>40.5</v>
      </c>
      <c r="F455" s="106">
        <v>25.5</v>
      </c>
      <c r="G455" s="106">
        <v>0</v>
      </c>
      <c r="H455" s="120">
        <v>224.64</v>
      </c>
      <c r="I455" s="120">
        <v>9</v>
      </c>
      <c r="L455" s="22">
        <v>2010</v>
      </c>
      <c r="M455" s="22">
        <v>80</v>
      </c>
    </row>
    <row r="456" spans="2:13" s="22" customFormat="1" x14ac:dyDescent="0.3">
      <c r="B456" s="42">
        <f t="shared" si="7"/>
        <v>40259</v>
      </c>
      <c r="D456" s="106">
        <v>18.9328</v>
      </c>
      <c r="E456" s="106">
        <v>38.950000000000003</v>
      </c>
      <c r="F456" s="106">
        <v>19.5</v>
      </c>
      <c r="G456" s="106">
        <v>0</v>
      </c>
      <c r="H456" s="120">
        <v>259.2</v>
      </c>
      <c r="I456" s="120">
        <v>4</v>
      </c>
      <c r="L456" s="22">
        <v>2010</v>
      </c>
      <c r="M456" s="22">
        <v>81</v>
      </c>
    </row>
    <row r="457" spans="2:13" s="22" customFormat="1" x14ac:dyDescent="0.3">
      <c r="B457" s="42">
        <f t="shared" si="7"/>
        <v>40260</v>
      </c>
      <c r="D457" s="106">
        <v>18.649899999999999</v>
      </c>
      <c r="E457" s="106">
        <v>38.5</v>
      </c>
      <c r="F457" s="106">
        <v>18</v>
      </c>
      <c r="G457" s="106">
        <v>0</v>
      </c>
      <c r="H457" s="120">
        <v>259.2</v>
      </c>
      <c r="I457" s="120">
        <v>2</v>
      </c>
      <c r="L457" s="22">
        <v>2010</v>
      </c>
      <c r="M457" s="22">
        <v>82</v>
      </c>
    </row>
    <row r="458" spans="2:13" s="22" customFormat="1" x14ac:dyDescent="0.3">
      <c r="B458" s="42">
        <f t="shared" si="7"/>
        <v>40261</v>
      </c>
      <c r="D458" s="106">
        <v>17.748899999999999</v>
      </c>
      <c r="E458" s="106">
        <v>39</v>
      </c>
      <c r="F458" s="106">
        <v>16.5</v>
      </c>
      <c r="G458" s="106">
        <v>0</v>
      </c>
      <c r="H458" s="120">
        <v>276.48</v>
      </c>
      <c r="I458" s="120">
        <v>2</v>
      </c>
      <c r="L458" s="22">
        <v>2010</v>
      </c>
      <c r="M458" s="22">
        <v>83</v>
      </c>
    </row>
    <row r="459" spans="2:13" s="22" customFormat="1" x14ac:dyDescent="0.3">
      <c r="B459" s="42">
        <f t="shared" si="7"/>
        <v>40262</v>
      </c>
      <c r="D459" s="106">
        <v>18.5425</v>
      </c>
      <c r="E459" s="106">
        <v>39.5</v>
      </c>
      <c r="F459" s="106">
        <v>19.5</v>
      </c>
      <c r="G459" s="106">
        <v>0</v>
      </c>
      <c r="H459" s="120">
        <v>216</v>
      </c>
      <c r="I459" s="120">
        <v>15</v>
      </c>
      <c r="L459" s="22">
        <v>2010</v>
      </c>
      <c r="M459" s="22">
        <v>84</v>
      </c>
    </row>
    <row r="460" spans="2:13" s="22" customFormat="1" x14ac:dyDescent="0.3">
      <c r="B460" s="42">
        <f t="shared" si="7"/>
        <v>40263</v>
      </c>
      <c r="D460" s="106">
        <v>16.402999999999999</v>
      </c>
      <c r="E460" s="106">
        <v>39.75</v>
      </c>
      <c r="F460" s="106">
        <v>19.5</v>
      </c>
      <c r="G460" s="106">
        <v>0</v>
      </c>
      <c r="H460" s="120">
        <v>207.36</v>
      </c>
      <c r="I460" s="120">
        <v>10</v>
      </c>
      <c r="L460" s="22">
        <v>2010</v>
      </c>
      <c r="M460" s="22">
        <v>85</v>
      </c>
    </row>
    <row r="461" spans="2:13" s="22" customFormat="1" x14ac:dyDescent="0.3">
      <c r="B461" s="42">
        <f t="shared" si="7"/>
        <v>40264</v>
      </c>
      <c r="D461" s="106">
        <v>24.764199999999999</v>
      </c>
      <c r="E461" s="106">
        <v>40</v>
      </c>
      <c r="F461" s="106">
        <v>14.5</v>
      </c>
      <c r="G461" s="106">
        <v>0</v>
      </c>
      <c r="H461" s="120">
        <v>345.6</v>
      </c>
      <c r="I461" s="120">
        <v>2</v>
      </c>
      <c r="L461" s="22">
        <v>2010</v>
      </c>
      <c r="M461" s="22">
        <v>86</v>
      </c>
    </row>
    <row r="462" spans="2:13" s="22" customFormat="1" x14ac:dyDescent="0.3">
      <c r="B462" s="42">
        <f t="shared" si="7"/>
        <v>40265</v>
      </c>
      <c r="D462" s="106">
        <v>21.696200000000001</v>
      </c>
      <c r="E462" s="106">
        <v>40.5</v>
      </c>
      <c r="F462" s="106">
        <v>14.5</v>
      </c>
      <c r="G462" s="106">
        <v>0</v>
      </c>
      <c r="H462" s="120">
        <v>319.68</v>
      </c>
      <c r="I462" s="120">
        <v>2</v>
      </c>
      <c r="L462" s="22">
        <v>2010</v>
      </c>
      <c r="M462" s="22">
        <v>87</v>
      </c>
    </row>
    <row r="463" spans="2:13" s="22" customFormat="1" x14ac:dyDescent="0.3">
      <c r="B463" s="42">
        <f t="shared" si="7"/>
        <v>40266</v>
      </c>
      <c r="D463" s="106">
        <v>17.077300000000001</v>
      </c>
      <c r="E463" s="106">
        <v>40.25</v>
      </c>
      <c r="F463" s="106">
        <v>18</v>
      </c>
      <c r="G463" s="106">
        <v>0</v>
      </c>
      <c r="H463" s="120">
        <v>267.83999999999997</v>
      </c>
      <c r="I463" s="120">
        <v>5</v>
      </c>
      <c r="L463" s="22">
        <v>2010</v>
      </c>
      <c r="M463" s="22">
        <v>88</v>
      </c>
    </row>
    <row r="464" spans="2:13" s="22" customFormat="1" x14ac:dyDescent="0.3">
      <c r="B464" s="42">
        <f t="shared" si="7"/>
        <v>40267</v>
      </c>
      <c r="D464" s="106">
        <v>17.558499999999999</v>
      </c>
      <c r="E464" s="106">
        <v>40</v>
      </c>
      <c r="F464" s="106">
        <v>20</v>
      </c>
      <c r="G464" s="106">
        <v>0</v>
      </c>
      <c r="H464" s="120">
        <v>302.39999999999998</v>
      </c>
      <c r="I464" s="120">
        <v>4</v>
      </c>
      <c r="L464" s="22">
        <v>2010</v>
      </c>
      <c r="M464" s="22">
        <v>89</v>
      </c>
    </row>
    <row r="465" spans="2:13" s="22" customFormat="1" x14ac:dyDescent="0.3">
      <c r="B465" s="42">
        <f t="shared" si="7"/>
        <v>40268</v>
      </c>
      <c r="D465" s="106">
        <v>19.741900000000001</v>
      </c>
      <c r="E465" s="106">
        <v>40.5</v>
      </c>
      <c r="F465" s="106">
        <v>18.600000000000001</v>
      </c>
      <c r="G465" s="106">
        <v>0</v>
      </c>
      <c r="H465" s="120">
        <v>164.16</v>
      </c>
      <c r="I465" s="120">
        <v>16</v>
      </c>
      <c r="L465" s="22">
        <v>2010</v>
      </c>
      <c r="M465" s="22">
        <v>90</v>
      </c>
    </row>
    <row r="466" spans="2:13" s="22" customFormat="1" x14ac:dyDescent="0.3">
      <c r="B466" s="42">
        <f t="shared" si="7"/>
        <v>40269</v>
      </c>
      <c r="D466" s="106">
        <v>20.687200000000001</v>
      </c>
      <c r="E466" s="106">
        <v>40.75</v>
      </c>
      <c r="F466" s="106">
        <v>19</v>
      </c>
      <c r="G466" s="106">
        <v>0</v>
      </c>
      <c r="H466" s="120">
        <v>198.72</v>
      </c>
      <c r="I466" s="120">
        <v>10</v>
      </c>
      <c r="L466" s="22">
        <v>2010</v>
      </c>
      <c r="M466" s="22">
        <v>91</v>
      </c>
    </row>
    <row r="467" spans="2:13" s="22" customFormat="1" x14ac:dyDescent="0.3">
      <c r="B467" s="42">
        <f t="shared" si="7"/>
        <v>40270</v>
      </c>
      <c r="D467" s="106">
        <v>20.392900000000001</v>
      </c>
      <c r="E467" s="106">
        <v>41</v>
      </c>
      <c r="F467" s="106">
        <v>20</v>
      </c>
      <c r="G467" s="106">
        <v>0</v>
      </c>
      <c r="H467" s="120">
        <v>129.6</v>
      </c>
      <c r="I467" s="120">
        <v>23</v>
      </c>
      <c r="L467" s="22">
        <v>2010</v>
      </c>
      <c r="M467" s="22">
        <v>92</v>
      </c>
    </row>
    <row r="468" spans="2:13" s="22" customFormat="1" x14ac:dyDescent="0.3">
      <c r="B468" s="42">
        <f t="shared" si="7"/>
        <v>40271</v>
      </c>
      <c r="D468" s="106">
        <v>19.322700000000001</v>
      </c>
      <c r="E468" s="106">
        <v>41.5</v>
      </c>
      <c r="F468" s="106">
        <v>19.5</v>
      </c>
      <c r="G468" s="106">
        <v>0</v>
      </c>
      <c r="H468" s="120">
        <v>146.88</v>
      </c>
      <c r="I468" s="120">
        <v>15</v>
      </c>
      <c r="L468" s="22">
        <v>2010</v>
      </c>
      <c r="M468" s="22">
        <v>93</v>
      </c>
    </row>
    <row r="469" spans="2:13" s="22" customFormat="1" x14ac:dyDescent="0.3">
      <c r="B469" s="42">
        <f t="shared" si="7"/>
        <v>40272</v>
      </c>
      <c r="D469" s="106">
        <v>21.040199999999999</v>
      </c>
      <c r="E469" s="106">
        <v>42</v>
      </c>
      <c r="F469" s="106">
        <v>23.5</v>
      </c>
      <c r="G469" s="106">
        <v>0</v>
      </c>
      <c r="H469" s="120">
        <v>190.08</v>
      </c>
      <c r="I469" s="120">
        <v>17</v>
      </c>
      <c r="L469" s="22">
        <v>2010</v>
      </c>
      <c r="M469" s="22">
        <v>94</v>
      </c>
    </row>
    <row r="470" spans="2:13" s="22" customFormat="1" x14ac:dyDescent="0.3">
      <c r="B470" s="42">
        <f t="shared" si="7"/>
        <v>40273</v>
      </c>
      <c r="D470" s="106">
        <v>19.502700000000001</v>
      </c>
      <c r="E470" s="106">
        <v>41.25</v>
      </c>
      <c r="F470" s="106">
        <v>22.25</v>
      </c>
      <c r="G470" s="106">
        <v>0</v>
      </c>
      <c r="H470" s="120">
        <v>259.2</v>
      </c>
      <c r="I470" s="120">
        <v>17</v>
      </c>
      <c r="L470" s="22">
        <v>2010</v>
      </c>
      <c r="M470" s="22">
        <v>95</v>
      </c>
    </row>
    <row r="471" spans="2:13" s="22" customFormat="1" x14ac:dyDescent="0.3">
      <c r="B471" s="42">
        <f t="shared" si="7"/>
        <v>40274</v>
      </c>
      <c r="D471" s="106">
        <v>24.938700000000001</v>
      </c>
      <c r="E471" s="106">
        <v>38.5</v>
      </c>
      <c r="F471" s="106">
        <v>24.1</v>
      </c>
      <c r="G471" s="106">
        <v>0</v>
      </c>
      <c r="H471" s="120">
        <v>267.83999999999997</v>
      </c>
      <c r="I471" s="120">
        <v>17</v>
      </c>
      <c r="L471" s="22">
        <v>2010</v>
      </c>
      <c r="M471" s="22">
        <v>96</v>
      </c>
    </row>
    <row r="472" spans="2:13" s="22" customFormat="1" x14ac:dyDescent="0.3">
      <c r="B472" s="42">
        <f t="shared" si="7"/>
        <v>40275</v>
      </c>
      <c r="D472" s="106">
        <v>25.414100000000001</v>
      </c>
      <c r="E472" s="106">
        <v>41</v>
      </c>
      <c r="F472" s="106">
        <v>26.4</v>
      </c>
      <c r="G472" s="106">
        <v>0</v>
      </c>
      <c r="H472" s="120">
        <v>51.84</v>
      </c>
      <c r="I472" s="120">
        <v>12</v>
      </c>
      <c r="L472" s="22">
        <v>2010</v>
      </c>
      <c r="M472" s="22">
        <v>97</v>
      </c>
    </row>
    <row r="473" spans="2:13" s="22" customFormat="1" x14ac:dyDescent="0.3">
      <c r="B473" s="42">
        <f t="shared" si="7"/>
        <v>40276</v>
      </c>
      <c r="D473" s="106">
        <v>25.2682</v>
      </c>
      <c r="E473" s="106">
        <v>41.5</v>
      </c>
      <c r="F473" s="106">
        <v>23.5</v>
      </c>
      <c r="G473" s="106">
        <v>0</v>
      </c>
      <c r="H473" s="120">
        <v>138.24</v>
      </c>
      <c r="I473" s="120">
        <v>14</v>
      </c>
      <c r="L473" s="22">
        <v>2010</v>
      </c>
      <c r="M473" s="22">
        <v>98</v>
      </c>
    </row>
    <row r="474" spans="2:13" s="22" customFormat="1" x14ac:dyDescent="0.3">
      <c r="B474" s="42">
        <f t="shared" si="7"/>
        <v>40277</v>
      </c>
      <c r="D474" s="106">
        <v>22.486000000000001</v>
      </c>
      <c r="E474" s="106">
        <v>39.799999999999997</v>
      </c>
      <c r="F474" s="106">
        <v>29</v>
      </c>
      <c r="G474" s="106">
        <v>0</v>
      </c>
      <c r="H474" s="120">
        <v>198.72</v>
      </c>
      <c r="I474" s="120">
        <v>16</v>
      </c>
      <c r="L474" s="22">
        <v>2010</v>
      </c>
      <c r="M474" s="22">
        <v>99</v>
      </c>
    </row>
    <row r="475" spans="2:13" s="22" customFormat="1" x14ac:dyDescent="0.3">
      <c r="B475" s="42">
        <f t="shared" si="7"/>
        <v>40278</v>
      </c>
      <c r="D475" s="106">
        <v>21.872900000000001</v>
      </c>
      <c r="E475" s="106">
        <v>39.700000000000003</v>
      </c>
      <c r="F475" s="106">
        <v>29.5</v>
      </c>
      <c r="G475" s="106">
        <v>0</v>
      </c>
      <c r="H475" s="120">
        <v>103.68</v>
      </c>
      <c r="I475" s="120">
        <v>14</v>
      </c>
      <c r="L475" s="22">
        <v>2010</v>
      </c>
      <c r="M475" s="22">
        <v>100</v>
      </c>
    </row>
    <row r="476" spans="2:13" s="22" customFormat="1" x14ac:dyDescent="0.3">
      <c r="B476" s="42">
        <f t="shared" si="7"/>
        <v>40279</v>
      </c>
      <c r="D476" s="106">
        <v>21.723700000000001</v>
      </c>
      <c r="E476" s="106">
        <v>40.299999999999997</v>
      </c>
      <c r="F476" s="106">
        <v>27.3</v>
      </c>
      <c r="G476" s="106">
        <v>0</v>
      </c>
      <c r="H476" s="120">
        <v>241.92</v>
      </c>
      <c r="I476" s="120">
        <v>17</v>
      </c>
      <c r="L476" s="22">
        <v>2010</v>
      </c>
      <c r="M476" s="22">
        <v>101</v>
      </c>
    </row>
    <row r="477" spans="2:13" s="22" customFormat="1" x14ac:dyDescent="0.3">
      <c r="B477" s="42">
        <f t="shared" si="7"/>
        <v>40280</v>
      </c>
      <c r="D477" s="106">
        <v>23.8978</v>
      </c>
      <c r="E477" s="106">
        <v>40.5</v>
      </c>
      <c r="F477" s="106">
        <v>29.5</v>
      </c>
      <c r="G477" s="106">
        <v>0</v>
      </c>
      <c r="H477" s="120">
        <v>267.83999999999997</v>
      </c>
      <c r="I477" s="120">
        <v>23</v>
      </c>
      <c r="L477" s="22">
        <v>2010</v>
      </c>
      <c r="M477" s="22">
        <v>102</v>
      </c>
    </row>
    <row r="478" spans="2:13" s="22" customFormat="1" x14ac:dyDescent="0.3">
      <c r="B478" s="42">
        <f t="shared" si="7"/>
        <v>40281</v>
      </c>
      <c r="D478" s="106">
        <v>22.971699999999998</v>
      </c>
      <c r="E478" s="106">
        <v>41.3</v>
      </c>
      <c r="F478" s="106">
        <v>30.3</v>
      </c>
      <c r="G478" s="106">
        <v>0</v>
      </c>
      <c r="H478" s="120">
        <v>285.12</v>
      </c>
      <c r="I478" s="120">
        <v>22</v>
      </c>
      <c r="L478" s="22">
        <v>2010</v>
      </c>
      <c r="M478" s="22">
        <v>103</v>
      </c>
    </row>
    <row r="479" spans="2:13" s="22" customFormat="1" x14ac:dyDescent="0.3">
      <c r="B479" s="42">
        <f t="shared" si="7"/>
        <v>40282</v>
      </c>
      <c r="D479" s="106">
        <v>15.076000000000001</v>
      </c>
      <c r="E479" s="106">
        <v>37.299999999999997</v>
      </c>
      <c r="F479" s="106">
        <v>27.5</v>
      </c>
      <c r="G479" s="106">
        <v>0</v>
      </c>
      <c r="H479" s="120">
        <v>302.39999999999998</v>
      </c>
      <c r="I479" s="120">
        <v>24</v>
      </c>
      <c r="L479" s="22">
        <v>2010</v>
      </c>
      <c r="M479" s="22">
        <v>104</v>
      </c>
    </row>
    <row r="480" spans="2:13" s="22" customFormat="1" x14ac:dyDescent="0.3">
      <c r="B480" s="42">
        <f t="shared" si="7"/>
        <v>40283</v>
      </c>
      <c r="D480" s="106">
        <v>24.833500000000001</v>
      </c>
      <c r="E480" s="106">
        <v>41.5</v>
      </c>
      <c r="F480" s="106">
        <v>27.5</v>
      </c>
      <c r="G480" s="106">
        <v>0</v>
      </c>
      <c r="H480" s="120">
        <v>207.36</v>
      </c>
      <c r="I480" s="120">
        <v>16</v>
      </c>
      <c r="L480" s="22">
        <v>2010</v>
      </c>
      <c r="M480" s="22">
        <v>105</v>
      </c>
    </row>
    <row r="481" spans="2:13" s="22" customFormat="1" x14ac:dyDescent="0.3">
      <c r="B481" s="42">
        <f t="shared" si="7"/>
        <v>40284</v>
      </c>
      <c r="D481" s="106">
        <v>19.107099999999999</v>
      </c>
      <c r="E481" s="106">
        <v>37</v>
      </c>
      <c r="F481" s="106">
        <v>29.5</v>
      </c>
      <c r="G481" s="106">
        <v>0</v>
      </c>
      <c r="H481" s="120">
        <v>190.08</v>
      </c>
      <c r="I481" s="120">
        <v>32</v>
      </c>
      <c r="L481" s="22">
        <v>2010</v>
      </c>
      <c r="M481" s="22">
        <v>106</v>
      </c>
    </row>
    <row r="482" spans="2:13" s="22" customFormat="1" x14ac:dyDescent="0.3">
      <c r="B482" s="42">
        <f t="shared" si="7"/>
        <v>40285</v>
      </c>
      <c r="D482" s="106">
        <v>21.833400000000001</v>
      </c>
      <c r="E482" s="106">
        <v>41.8</v>
      </c>
      <c r="F482" s="106">
        <v>28.8</v>
      </c>
      <c r="G482" s="106">
        <v>0</v>
      </c>
      <c r="H482" s="120">
        <v>181.44</v>
      </c>
      <c r="I482" s="120">
        <v>43</v>
      </c>
      <c r="L482" s="22">
        <v>2010</v>
      </c>
      <c r="M482" s="22">
        <v>107</v>
      </c>
    </row>
    <row r="483" spans="2:13" s="22" customFormat="1" x14ac:dyDescent="0.3">
      <c r="B483" s="42">
        <f t="shared" si="7"/>
        <v>40286</v>
      </c>
      <c r="D483" s="106">
        <v>23.1327</v>
      </c>
      <c r="E483" s="106">
        <v>41</v>
      </c>
      <c r="F483" s="106">
        <v>28.5</v>
      </c>
      <c r="G483" s="106">
        <v>0</v>
      </c>
      <c r="H483" s="120">
        <v>120.96</v>
      </c>
      <c r="I483" s="120">
        <v>36</v>
      </c>
      <c r="L483" s="22">
        <v>2010</v>
      </c>
      <c r="M483" s="22">
        <v>108</v>
      </c>
    </row>
    <row r="484" spans="2:13" s="22" customFormat="1" x14ac:dyDescent="0.3">
      <c r="B484" s="42">
        <f t="shared" si="7"/>
        <v>40287</v>
      </c>
      <c r="D484" s="106">
        <v>23.2302</v>
      </c>
      <c r="E484" s="106">
        <v>40</v>
      </c>
      <c r="F484" s="106">
        <v>30</v>
      </c>
      <c r="G484" s="106">
        <v>0</v>
      </c>
      <c r="H484" s="120">
        <v>172.8</v>
      </c>
      <c r="I484" s="120">
        <v>32</v>
      </c>
      <c r="L484" s="22">
        <v>2010</v>
      </c>
      <c r="M484" s="22">
        <v>109</v>
      </c>
    </row>
    <row r="485" spans="2:13" s="22" customFormat="1" x14ac:dyDescent="0.3">
      <c r="B485" s="42">
        <f t="shared" si="7"/>
        <v>40288</v>
      </c>
      <c r="D485" s="106">
        <v>23.526499999999999</v>
      </c>
      <c r="E485" s="106">
        <v>39</v>
      </c>
      <c r="F485" s="106">
        <v>26</v>
      </c>
      <c r="G485" s="106">
        <v>0</v>
      </c>
      <c r="H485" s="120">
        <v>164.16</v>
      </c>
      <c r="I485" s="120">
        <v>13</v>
      </c>
      <c r="L485" s="22">
        <v>2010</v>
      </c>
      <c r="M485" s="22">
        <v>110</v>
      </c>
    </row>
    <row r="486" spans="2:13" s="22" customFormat="1" x14ac:dyDescent="0.3">
      <c r="B486" s="42">
        <f t="shared" si="7"/>
        <v>40289</v>
      </c>
      <c r="D486" s="106">
        <v>17.330300000000001</v>
      </c>
      <c r="E486" s="106">
        <v>39.200000000000003</v>
      </c>
      <c r="F486" s="106">
        <v>29</v>
      </c>
      <c r="G486" s="106">
        <v>0</v>
      </c>
      <c r="H486" s="120">
        <v>164.16</v>
      </c>
      <c r="I486" s="120">
        <v>13</v>
      </c>
      <c r="L486" s="22">
        <v>2010</v>
      </c>
      <c r="M486" s="22">
        <v>111</v>
      </c>
    </row>
    <row r="487" spans="2:13" s="22" customFormat="1" x14ac:dyDescent="0.3">
      <c r="B487" s="42">
        <f t="shared" si="7"/>
        <v>40290</v>
      </c>
      <c r="D487" s="106">
        <v>19.224799999999998</v>
      </c>
      <c r="E487" s="106">
        <v>41.5</v>
      </c>
      <c r="F487" s="106">
        <v>23.5</v>
      </c>
      <c r="G487" s="106">
        <v>0</v>
      </c>
      <c r="H487" s="120">
        <v>120.96</v>
      </c>
      <c r="I487" s="120">
        <v>9</v>
      </c>
      <c r="L487" s="22">
        <v>2010</v>
      </c>
      <c r="M487" s="22">
        <v>112</v>
      </c>
    </row>
    <row r="488" spans="2:13" s="22" customFormat="1" x14ac:dyDescent="0.3">
      <c r="B488" s="42">
        <f t="shared" si="7"/>
        <v>40291</v>
      </c>
      <c r="D488" s="106">
        <v>20.518000000000001</v>
      </c>
      <c r="E488" s="106">
        <v>38</v>
      </c>
      <c r="F488" s="106">
        <v>25</v>
      </c>
      <c r="G488" s="106">
        <v>0</v>
      </c>
      <c r="H488" s="120">
        <v>216</v>
      </c>
      <c r="I488" s="120">
        <v>33</v>
      </c>
      <c r="L488" s="22">
        <v>2010</v>
      </c>
      <c r="M488" s="22">
        <v>113</v>
      </c>
    </row>
    <row r="489" spans="2:13" s="22" customFormat="1" x14ac:dyDescent="0.3">
      <c r="B489" s="42">
        <f t="shared" si="7"/>
        <v>40292</v>
      </c>
      <c r="D489" s="106">
        <v>20.6126</v>
      </c>
      <c r="E489" s="106">
        <v>36.25</v>
      </c>
      <c r="F489" s="106">
        <v>26</v>
      </c>
      <c r="G489" s="106">
        <v>0</v>
      </c>
      <c r="H489" s="120">
        <v>129.6</v>
      </c>
      <c r="I489" s="120">
        <v>21</v>
      </c>
      <c r="L489" s="22">
        <v>2010</v>
      </c>
      <c r="M489" s="22">
        <v>114</v>
      </c>
    </row>
    <row r="490" spans="2:13" s="22" customFormat="1" x14ac:dyDescent="0.3">
      <c r="B490" s="42">
        <f t="shared" si="7"/>
        <v>40293</v>
      </c>
      <c r="D490" s="106">
        <v>15.526199999999999</v>
      </c>
      <c r="E490" s="106">
        <v>39.5</v>
      </c>
      <c r="F490" s="106">
        <v>26</v>
      </c>
      <c r="G490" s="106">
        <v>0</v>
      </c>
      <c r="H490" s="120">
        <v>190.08</v>
      </c>
      <c r="I490" s="120">
        <v>30</v>
      </c>
      <c r="L490" s="22">
        <v>2010</v>
      </c>
      <c r="M490" s="22">
        <v>115</v>
      </c>
    </row>
    <row r="491" spans="2:13" s="22" customFormat="1" x14ac:dyDescent="0.3">
      <c r="B491" s="42">
        <f t="shared" ref="B491:B554" si="8">DATE(L491-1,12,31)+M491</f>
        <v>40294</v>
      </c>
      <c r="D491" s="106">
        <v>19.007400000000001</v>
      </c>
      <c r="E491" s="106">
        <v>41.5</v>
      </c>
      <c r="F491" s="106">
        <v>27.5</v>
      </c>
      <c r="G491" s="106">
        <v>0</v>
      </c>
      <c r="H491" s="120">
        <v>250.56</v>
      </c>
      <c r="I491" s="120">
        <v>40</v>
      </c>
      <c r="L491" s="22">
        <v>2010</v>
      </c>
      <c r="M491" s="22">
        <v>116</v>
      </c>
    </row>
    <row r="492" spans="2:13" s="22" customFormat="1" x14ac:dyDescent="0.3">
      <c r="B492" s="42">
        <f t="shared" si="8"/>
        <v>40295</v>
      </c>
      <c r="D492" s="106">
        <v>20.9909</v>
      </c>
      <c r="E492" s="106">
        <v>40</v>
      </c>
      <c r="F492" s="106">
        <v>24</v>
      </c>
      <c r="G492" s="106">
        <v>0</v>
      </c>
      <c r="H492" s="120">
        <v>285.12</v>
      </c>
      <c r="I492" s="120">
        <v>32</v>
      </c>
      <c r="L492" s="22">
        <v>2010</v>
      </c>
      <c r="M492" s="22">
        <v>117</v>
      </c>
    </row>
    <row r="493" spans="2:13" s="22" customFormat="1" x14ac:dyDescent="0.3">
      <c r="B493" s="42">
        <f t="shared" si="8"/>
        <v>40296</v>
      </c>
      <c r="D493" s="106">
        <v>18.994800000000001</v>
      </c>
      <c r="E493" s="106">
        <v>39</v>
      </c>
      <c r="F493" s="106">
        <v>24.25</v>
      </c>
      <c r="G493" s="106">
        <v>0</v>
      </c>
      <c r="H493" s="120">
        <v>224.64</v>
      </c>
      <c r="I493" s="120">
        <v>43</v>
      </c>
      <c r="L493" s="22">
        <v>2010</v>
      </c>
      <c r="M493" s="22">
        <v>118</v>
      </c>
    </row>
    <row r="494" spans="2:13" s="22" customFormat="1" x14ac:dyDescent="0.3">
      <c r="B494" s="42">
        <f t="shared" si="8"/>
        <v>40297</v>
      </c>
      <c r="D494" s="106">
        <v>19.782299999999999</v>
      </c>
      <c r="E494" s="106">
        <v>40</v>
      </c>
      <c r="F494" s="106">
        <v>27.5</v>
      </c>
      <c r="G494" s="106">
        <v>0</v>
      </c>
      <c r="H494" s="120">
        <v>164.16</v>
      </c>
      <c r="I494" s="120">
        <v>48</v>
      </c>
      <c r="L494" s="22">
        <v>2010</v>
      </c>
      <c r="M494" s="22">
        <v>119</v>
      </c>
    </row>
    <row r="495" spans="2:13" s="22" customFormat="1" x14ac:dyDescent="0.3">
      <c r="B495" s="42">
        <f t="shared" si="8"/>
        <v>40298</v>
      </c>
      <c r="D495" s="106">
        <v>19.774000000000001</v>
      </c>
      <c r="E495" s="106">
        <v>35.75</v>
      </c>
      <c r="F495" s="106">
        <v>24.25</v>
      </c>
      <c r="G495" s="106">
        <v>1</v>
      </c>
      <c r="H495" s="120">
        <v>181.44</v>
      </c>
      <c r="I495" s="120">
        <v>52</v>
      </c>
      <c r="L495" s="22">
        <v>2010</v>
      </c>
      <c r="M495" s="22">
        <v>120</v>
      </c>
    </row>
    <row r="496" spans="2:13" s="22" customFormat="1" x14ac:dyDescent="0.3">
      <c r="B496" s="42">
        <f t="shared" si="8"/>
        <v>40299</v>
      </c>
      <c r="D496" s="106">
        <v>20.5807</v>
      </c>
      <c r="E496" s="106">
        <v>30.25</v>
      </c>
      <c r="F496" s="106">
        <v>23.75</v>
      </c>
      <c r="G496" s="106">
        <v>0</v>
      </c>
      <c r="H496" s="120">
        <v>224.64</v>
      </c>
      <c r="I496" s="120">
        <v>39</v>
      </c>
      <c r="L496" s="22">
        <v>2010</v>
      </c>
      <c r="M496" s="22">
        <v>121</v>
      </c>
    </row>
    <row r="497" spans="2:13" s="22" customFormat="1" x14ac:dyDescent="0.3">
      <c r="B497" s="42">
        <f t="shared" si="8"/>
        <v>40300</v>
      </c>
      <c r="D497" s="106">
        <v>12.758599999999999</v>
      </c>
      <c r="E497" s="106">
        <v>36</v>
      </c>
      <c r="F497" s="106">
        <v>23.75</v>
      </c>
      <c r="G497" s="106">
        <v>6</v>
      </c>
      <c r="H497" s="120">
        <v>241.92</v>
      </c>
      <c r="I497" s="120">
        <v>42</v>
      </c>
      <c r="L497" s="22">
        <v>2010</v>
      </c>
      <c r="M497" s="22">
        <v>122</v>
      </c>
    </row>
    <row r="498" spans="2:13" s="22" customFormat="1" x14ac:dyDescent="0.3">
      <c r="B498" s="42">
        <f t="shared" si="8"/>
        <v>40301</v>
      </c>
      <c r="D498" s="106">
        <v>23.621099999999998</v>
      </c>
      <c r="E498" s="106">
        <v>36</v>
      </c>
      <c r="F498" s="106">
        <v>23.5</v>
      </c>
      <c r="G498" s="106">
        <v>0</v>
      </c>
      <c r="H498" s="120">
        <v>259.2</v>
      </c>
      <c r="I498" s="120">
        <v>38</v>
      </c>
      <c r="L498" s="22">
        <v>2010</v>
      </c>
      <c r="M498" s="22">
        <v>123</v>
      </c>
    </row>
    <row r="499" spans="2:13" s="22" customFormat="1" x14ac:dyDescent="0.3">
      <c r="B499" s="42">
        <f t="shared" si="8"/>
        <v>40302</v>
      </c>
      <c r="D499" s="106">
        <v>23.3017</v>
      </c>
      <c r="E499" s="106">
        <v>39.25</v>
      </c>
      <c r="F499" s="106">
        <v>27.55</v>
      </c>
      <c r="G499" s="106">
        <v>0</v>
      </c>
      <c r="H499" s="120">
        <v>216</v>
      </c>
      <c r="I499" s="120">
        <v>46</v>
      </c>
      <c r="L499" s="22">
        <v>2010</v>
      </c>
      <c r="M499" s="22">
        <v>124</v>
      </c>
    </row>
    <row r="500" spans="2:13" s="22" customFormat="1" x14ac:dyDescent="0.3">
      <c r="B500" s="42">
        <f t="shared" si="8"/>
        <v>40303</v>
      </c>
      <c r="D500" s="106">
        <v>22.0657</v>
      </c>
      <c r="E500" s="106">
        <v>40.5</v>
      </c>
      <c r="F500" s="106">
        <v>27.25</v>
      </c>
      <c r="G500" s="106">
        <v>0</v>
      </c>
      <c r="H500" s="120">
        <v>241.92</v>
      </c>
      <c r="I500" s="120">
        <v>45</v>
      </c>
      <c r="L500" s="22">
        <v>2010</v>
      </c>
      <c r="M500" s="22">
        <v>125</v>
      </c>
    </row>
    <row r="501" spans="2:13" s="22" customFormat="1" x14ac:dyDescent="0.3">
      <c r="B501" s="42">
        <f t="shared" si="8"/>
        <v>40304</v>
      </c>
      <c r="D501" s="106">
        <v>18.847300000000001</v>
      </c>
      <c r="E501" s="106">
        <v>40.5</v>
      </c>
      <c r="F501" s="106">
        <v>26.25</v>
      </c>
      <c r="G501" s="106">
        <v>0</v>
      </c>
      <c r="H501" s="120">
        <v>233.28</v>
      </c>
      <c r="I501" s="120">
        <v>39</v>
      </c>
      <c r="L501" s="22">
        <v>2010</v>
      </c>
      <c r="M501" s="22">
        <v>126</v>
      </c>
    </row>
    <row r="502" spans="2:13" s="22" customFormat="1" x14ac:dyDescent="0.3">
      <c r="B502" s="42">
        <f t="shared" si="8"/>
        <v>40305</v>
      </c>
      <c r="D502" s="106">
        <v>17.159400000000002</v>
      </c>
      <c r="E502" s="106">
        <v>38.5</v>
      </c>
      <c r="F502" s="106">
        <v>27.25</v>
      </c>
      <c r="G502" s="106">
        <v>6</v>
      </c>
      <c r="H502" s="120">
        <v>207.36</v>
      </c>
      <c r="I502" s="120">
        <v>57</v>
      </c>
      <c r="L502" s="22">
        <v>2010</v>
      </c>
      <c r="M502" s="22">
        <v>127</v>
      </c>
    </row>
    <row r="503" spans="2:13" s="22" customFormat="1" x14ac:dyDescent="0.3">
      <c r="B503" s="42">
        <f t="shared" si="8"/>
        <v>40306</v>
      </c>
      <c r="D503" s="106">
        <v>26.5959</v>
      </c>
      <c r="E503" s="106">
        <v>39</v>
      </c>
      <c r="F503" s="106">
        <v>22.25</v>
      </c>
      <c r="G503" s="106">
        <v>0</v>
      </c>
      <c r="H503" s="120">
        <v>155.52000000000001</v>
      </c>
      <c r="I503" s="120">
        <v>39</v>
      </c>
      <c r="L503" s="22">
        <v>2010</v>
      </c>
      <c r="M503" s="22">
        <v>128</v>
      </c>
    </row>
    <row r="504" spans="2:13" s="22" customFormat="1" x14ac:dyDescent="0.3">
      <c r="B504" s="42">
        <f t="shared" si="8"/>
        <v>40307</v>
      </c>
      <c r="D504" s="106">
        <v>24.142099999999999</v>
      </c>
      <c r="E504" s="106">
        <v>39.5</v>
      </c>
      <c r="F504" s="106">
        <v>26.25</v>
      </c>
      <c r="G504" s="106">
        <v>0</v>
      </c>
      <c r="H504" s="120">
        <v>198.72</v>
      </c>
      <c r="I504" s="120">
        <v>40</v>
      </c>
      <c r="L504" s="22">
        <v>2010</v>
      </c>
      <c r="M504" s="22">
        <v>129</v>
      </c>
    </row>
    <row r="505" spans="2:13" s="22" customFormat="1" x14ac:dyDescent="0.3">
      <c r="B505" s="42">
        <f t="shared" si="8"/>
        <v>40308</v>
      </c>
      <c r="D505" s="106">
        <v>23.973600000000001</v>
      </c>
      <c r="E505" s="106">
        <v>40</v>
      </c>
      <c r="F505" s="106">
        <v>29.25</v>
      </c>
      <c r="G505" s="106">
        <v>0</v>
      </c>
      <c r="H505" s="120">
        <v>241.92</v>
      </c>
      <c r="I505" s="120">
        <v>45</v>
      </c>
      <c r="L505" s="22">
        <v>2010</v>
      </c>
      <c r="M505" s="22">
        <v>130</v>
      </c>
    </row>
    <row r="506" spans="2:13" s="22" customFormat="1" x14ac:dyDescent="0.3">
      <c r="B506" s="42">
        <f t="shared" si="8"/>
        <v>40309</v>
      </c>
      <c r="D506" s="106">
        <v>24.716699999999999</v>
      </c>
      <c r="E506" s="106">
        <v>40</v>
      </c>
      <c r="F506" s="106">
        <v>28.5</v>
      </c>
      <c r="G506" s="106">
        <v>0</v>
      </c>
      <c r="H506" s="120">
        <v>216</v>
      </c>
      <c r="I506" s="120">
        <v>48</v>
      </c>
      <c r="L506" s="22">
        <v>2010</v>
      </c>
      <c r="M506" s="22">
        <v>131</v>
      </c>
    </row>
    <row r="507" spans="2:13" s="22" customFormat="1" x14ac:dyDescent="0.3">
      <c r="B507" s="42">
        <f t="shared" si="8"/>
        <v>40310</v>
      </c>
      <c r="D507" s="106">
        <v>13.316599999999999</v>
      </c>
      <c r="E507" s="106">
        <v>41.5</v>
      </c>
      <c r="F507" s="106">
        <v>24.5</v>
      </c>
      <c r="G507" s="106">
        <v>0</v>
      </c>
      <c r="H507" s="120">
        <v>198.72</v>
      </c>
      <c r="I507" s="120">
        <v>40</v>
      </c>
      <c r="L507" s="22">
        <v>2010</v>
      </c>
      <c r="M507" s="22">
        <v>132</v>
      </c>
    </row>
    <row r="508" spans="2:13" s="22" customFormat="1" x14ac:dyDescent="0.3">
      <c r="B508" s="42">
        <f t="shared" si="8"/>
        <v>40311</v>
      </c>
      <c r="D508" s="106">
        <v>24.9848</v>
      </c>
      <c r="E508" s="106">
        <v>39</v>
      </c>
      <c r="F508" s="106">
        <v>25.5</v>
      </c>
      <c r="G508" s="106">
        <v>0</v>
      </c>
      <c r="H508" s="120">
        <v>233.28</v>
      </c>
      <c r="I508" s="120">
        <v>41</v>
      </c>
      <c r="L508" s="22">
        <v>2010</v>
      </c>
      <c r="M508" s="22">
        <v>133</v>
      </c>
    </row>
    <row r="509" spans="2:13" s="22" customFormat="1" x14ac:dyDescent="0.3">
      <c r="B509" s="42">
        <f t="shared" si="8"/>
        <v>40312</v>
      </c>
      <c r="D509" s="106">
        <v>24.663699999999999</v>
      </c>
      <c r="E509" s="106">
        <v>40.5</v>
      </c>
      <c r="F509" s="106">
        <v>27</v>
      </c>
      <c r="G509" s="106">
        <v>0</v>
      </c>
      <c r="H509" s="120">
        <v>250.56</v>
      </c>
      <c r="I509" s="120">
        <v>43</v>
      </c>
      <c r="L509" s="22">
        <v>2010</v>
      </c>
      <c r="M509" s="22">
        <v>134</v>
      </c>
    </row>
    <row r="510" spans="2:13" s="22" customFormat="1" x14ac:dyDescent="0.3">
      <c r="B510" s="42">
        <f t="shared" si="8"/>
        <v>40313</v>
      </c>
      <c r="D510" s="106">
        <v>14.355499999999999</v>
      </c>
      <c r="E510" s="106">
        <v>40.5</v>
      </c>
      <c r="F510" s="106">
        <v>20</v>
      </c>
      <c r="G510" s="106">
        <v>22</v>
      </c>
      <c r="H510" s="120">
        <v>172.8</v>
      </c>
      <c r="I510" s="120">
        <v>57</v>
      </c>
      <c r="L510" s="22">
        <v>2010</v>
      </c>
      <c r="M510" s="22">
        <v>135</v>
      </c>
    </row>
    <row r="511" spans="2:13" s="22" customFormat="1" x14ac:dyDescent="0.3">
      <c r="B511" s="42">
        <f t="shared" si="8"/>
        <v>40314</v>
      </c>
      <c r="D511" s="106">
        <v>25.081299999999999</v>
      </c>
      <c r="E511" s="106">
        <v>35.75</v>
      </c>
      <c r="F511" s="106">
        <v>24.25</v>
      </c>
      <c r="G511" s="106">
        <v>0</v>
      </c>
      <c r="H511" s="120">
        <v>181.44</v>
      </c>
      <c r="I511" s="120">
        <v>44</v>
      </c>
      <c r="L511" s="22">
        <v>2010</v>
      </c>
      <c r="M511" s="22">
        <v>136</v>
      </c>
    </row>
    <row r="512" spans="2:13" s="22" customFormat="1" x14ac:dyDescent="0.3">
      <c r="B512" s="42">
        <f t="shared" si="8"/>
        <v>40315</v>
      </c>
      <c r="D512" s="106">
        <v>19.323499999999999</v>
      </c>
      <c r="E512" s="106">
        <v>38.75</v>
      </c>
      <c r="F512" s="106">
        <v>26.25</v>
      </c>
      <c r="G512" s="106">
        <v>0</v>
      </c>
      <c r="H512" s="120">
        <v>155.52000000000001</v>
      </c>
      <c r="I512" s="120">
        <v>55</v>
      </c>
      <c r="L512" s="22">
        <v>2010</v>
      </c>
      <c r="M512" s="22">
        <v>137</v>
      </c>
    </row>
    <row r="513" spans="2:13" s="22" customFormat="1" x14ac:dyDescent="0.3">
      <c r="B513" s="42">
        <f t="shared" si="8"/>
        <v>40316</v>
      </c>
      <c r="D513" s="106">
        <v>18.405200000000001</v>
      </c>
      <c r="E513" s="106">
        <v>38.5</v>
      </c>
      <c r="F513" s="106">
        <v>26.5</v>
      </c>
      <c r="G513" s="106">
        <v>0</v>
      </c>
      <c r="H513" s="120">
        <v>198.72</v>
      </c>
      <c r="I513" s="120">
        <v>54</v>
      </c>
      <c r="L513" s="22">
        <v>2010</v>
      </c>
      <c r="M513" s="22">
        <v>138</v>
      </c>
    </row>
    <row r="514" spans="2:13" s="22" customFormat="1" x14ac:dyDescent="0.3">
      <c r="B514" s="42">
        <f t="shared" si="8"/>
        <v>40317</v>
      </c>
      <c r="D514" s="106">
        <v>20.051300000000001</v>
      </c>
      <c r="E514" s="106">
        <v>39</v>
      </c>
      <c r="F514" s="106">
        <v>25.5</v>
      </c>
      <c r="G514" s="106">
        <v>1</v>
      </c>
      <c r="H514" s="120">
        <v>250.56</v>
      </c>
      <c r="I514" s="120">
        <v>41</v>
      </c>
      <c r="L514" s="22">
        <v>2010</v>
      </c>
      <c r="M514" s="22">
        <v>139</v>
      </c>
    </row>
    <row r="515" spans="2:13" s="22" customFormat="1" x14ac:dyDescent="0.3">
      <c r="B515" s="42">
        <f t="shared" si="8"/>
        <v>40318</v>
      </c>
      <c r="D515" s="106">
        <v>9.4955099999999995</v>
      </c>
      <c r="E515" s="106">
        <v>39</v>
      </c>
      <c r="F515" s="106">
        <v>22</v>
      </c>
      <c r="G515" s="106">
        <v>0.4</v>
      </c>
      <c r="H515" s="120">
        <v>155.52000000000001</v>
      </c>
      <c r="I515" s="120">
        <v>44</v>
      </c>
      <c r="L515" s="22">
        <v>2010</v>
      </c>
      <c r="M515" s="22">
        <v>140</v>
      </c>
    </row>
    <row r="516" spans="2:13" s="22" customFormat="1" x14ac:dyDescent="0.3">
      <c r="B516" s="42">
        <f t="shared" si="8"/>
        <v>40319</v>
      </c>
      <c r="D516" s="106">
        <v>22.581900000000001</v>
      </c>
      <c r="E516" s="106">
        <v>37.25</v>
      </c>
      <c r="F516" s="106">
        <v>24.5</v>
      </c>
      <c r="G516" s="106">
        <v>0</v>
      </c>
      <c r="H516" s="120">
        <v>181.44</v>
      </c>
      <c r="I516" s="120">
        <v>53</v>
      </c>
      <c r="L516" s="22">
        <v>2010</v>
      </c>
      <c r="M516" s="22">
        <v>141</v>
      </c>
    </row>
    <row r="517" spans="2:13" s="22" customFormat="1" x14ac:dyDescent="0.3">
      <c r="B517" s="42">
        <f t="shared" si="8"/>
        <v>40320</v>
      </c>
      <c r="D517" s="106">
        <v>18.8079</v>
      </c>
      <c r="E517" s="106">
        <v>36</v>
      </c>
      <c r="F517" s="106">
        <v>25.5</v>
      </c>
      <c r="G517" s="106">
        <v>0</v>
      </c>
      <c r="H517" s="120">
        <v>207.36</v>
      </c>
      <c r="I517" s="120">
        <v>46</v>
      </c>
      <c r="L517" s="22">
        <v>2010</v>
      </c>
      <c r="M517" s="22">
        <v>142</v>
      </c>
    </row>
    <row r="518" spans="2:13" s="22" customFormat="1" x14ac:dyDescent="0.3">
      <c r="B518" s="42">
        <f t="shared" si="8"/>
        <v>40321</v>
      </c>
      <c r="D518" s="106">
        <v>20.447600000000001</v>
      </c>
      <c r="E518" s="106">
        <v>37.950000000000003</v>
      </c>
      <c r="F518" s="106">
        <v>27.75</v>
      </c>
      <c r="G518" s="106">
        <v>1</v>
      </c>
      <c r="H518" s="120">
        <v>146.88</v>
      </c>
      <c r="I518" s="120">
        <v>56</v>
      </c>
      <c r="L518" s="22">
        <v>2010</v>
      </c>
      <c r="M518" s="22">
        <v>143</v>
      </c>
    </row>
    <row r="519" spans="2:13" s="22" customFormat="1" x14ac:dyDescent="0.3">
      <c r="B519" s="42">
        <f t="shared" si="8"/>
        <v>40322</v>
      </c>
      <c r="D519" s="106">
        <v>17.733000000000001</v>
      </c>
      <c r="E519" s="106">
        <v>37.950000000000003</v>
      </c>
      <c r="F519" s="106">
        <v>22.25</v>
      </c>
      <c r="G519" s="106">
        <v>7</v>
      </c>
      <c r="H519" s="120">
        <v>190.08</v>
      </c>
      <c r="I519" s="120">
        <v>69</v>
      </c>
      <c r="L519" s="22">
        <v>2010</v>
      </c>
      <c r="M519" s="22">
        <v>144</v>
      </c>
    </row>
    <row r="520" spans="2:13" s="22" customFormat="1" x14ac:dyDescent="0.3">
      <c r="B520" s="42">
        <f t="shared" si="8"/>
        <v>40323</v>
      </c>
      <c r="D520" s="106">
        <v>19.970600000000001</v>
      </c>
      <c r="E520" s="106">
        <v>36.450000000000003</v>
      </c>
      <c r="F520" s="106">
        <v>22</v>
      </c>
      <c r="G520" s="106">
        <v>0</v>
      </c>
      <c r="H520" s="120">
        <v>207.36</v>
      </c>
      <c r="I520" s="120">
        <v>48</v>
      </c>
      <c r="L520" s="22">
        <v>2010</v>
      </c>
      <c r="M520" s="22">
        <v>145</v>
      </c>
    </row>
    <row r="521" spans="2:13" s="22" customFormat="1" x14ac:dyDescent="0.3">
      <c r="B521" s="42">
        <f t="shared" si="8"/>
        <v>40324</v>
      </c>
      <c r="D521" s="106">
        <v>21.904800000000002</v>
      </c>
      <c r="E521" s="106">
        <v>38</v>
      </c>
      <c r="F521" s="106">
        <v>26</v>
      </c>
      <c r="G521" s="106">
        <v>0</v>
      </c>
      <c r="H521" s="120">
        <v>267.83999999999997</v>
      </c>
      <c r="I521" s="120">
        <v>55</v>
      </c>
      <c r="L521" s="22">
        <v>2010</v>
      </c>
      <c r="M521" s="22">
        <v>146</v>
      </c>
    </row>
    <row r="522" spans="2:13" s="22" customFormat="1" x14ac:dyDescent="0.3">
      <c r="B522" s="42">
        <f t="shared" si="8"/>
        <v>40325</v>
      </c>
      <c r="D522" s="106">
        <v>19.944800000000001</v>
      </c>
      <c r="E522" s="106">
        <v>39.75</v>
      </c>
      <c r="F522" s="106">
        <v>27.75</v>
      </c>
      <c r="G522" s="106">
        <v>0</v>
      </c>
      <c r="H522" s="120">
        <v>259.2</v>
      </c>
      <c r="I522" s="120">
        <v>52</v>
      </c>
      <c r="L522" s="22">
        <v>2010</v>
      </c>
      <c r="M522" s="22">
        <v>147</v>
      </c>
    </row>
    <row r="523" spans="2:13" s="22" customFormat="1" x14ac:dyDescent="0.3">
      <c r="B523" s="42">
        <f t="shared" si="8"/>
        <v>40326</v>
      </c>
      <c r="D523" s="106">
        <v>21.577100000000002</v>
      </c>
      <c r="E523" s="106">
        <v>39.25</v>
      </c>
      <c r="F523" s="106">
        <v>28</v>
      </c>
      <c r="G523" s="106">
        <v>0</v>
      </c>
      <c r="H523" s="120">
        <v>233.28</v>
      </c>
      <c r="I523" s="120">
        <v>56</v>
      </c>
      <c r="L523" s="22">
        <v>2010</v>
      </c>
      <c r="M523" s="22">
        <v>148</v>
      </c>
    </row>
    <row r="524" spans="2:13" s="22" customFormat="1" x14ac:dyDescent="0.3">
      <c r="B524" s="42">
        <f t="shared" si="8"/>
        <v>40327</v>
      </c>
      <c r="D524" s="106">
        <v>21.414000000000001</v>
      </c>
      <c r="E524" s="106">
        <v>38.25</v>
      </c>
      <c r="F524" s="106">
        <v>27</v>
      </c>
      <c r="G524" s="106">
        <v>33</v>
      </c>
      <c r="H524" s="120">
        <v>181.44</v>
      </c>
      <c r="I524" s="120">
        <v>56</v>
      </c>
      <c r="L524" s="22">
        <v>2010</v>
      </c>
      <c r="M524" s="22">
        <v>149</v>
      </c>
    </row>
    <row r="525" spans="2:13" s="22" customFormat="1" x14ac:dyDescent="0.3">
      <c r="B525" s="42">
        <f t="shared" si="8"/>
        <v>40328</v>
      </c>
      <c r="D525" s="106">
        <v>24.386500000000002</v>
      </c>
      <c r="E525" s="106">
        <v>36.9</v>
      </c>
      <c r="F525" s="106">
        <v>22</v>
      </c>
      <c r="G525" s="106">
        <v>0</v>
      </c>
      <c r="H525" s="120">
        <v>129.6</v>
      </c>
      <c r="I525" s="120">
        <v>46</v>
      </c>
      <c r="L525" s="22">
        <v>2010</v>
      </c>
      <c r="M525" s="22">
        <v>150</v>
      </c>
    </row>
    <row r="526" spans="2:13" s="22" customFormat="1" x14ac:dyDescent="0.3">
      <c r="B526" s="42">
        <f t="shared" si="8"/>
        <v>40329</v>
      </c>
      <c r="D526" s="106">
        <v>20.9404</v>
      </c>
      <c r="E526" s="106">
        <v>36</v>
      </c>
      <c r="F526" s="106">
        <v>25.25</v>
      </c>
      <c r="G526" s="106">
        <v>50</v>
      </c>
      <c r="H526" s="120">
        <v>259.2</v>
      </c>
      <c r="I526" s="120">
        <v>48</v>
      </c>
      <c r="L526" s="22">
        <v>2010</v>
      </c>
      <c r="M526" s="22">
        <v>151</v>
      </c>
    </row>
    <row r="527" spans="2:13" s="22" customFormat="1" x14ac:dyDescent="0.3">
      <c r="B527" s="42">
        <f t="shared" si="8"/>
        <v>40330</v>
      </c>
      <c r="D527" s="106">
        <v>9.4506999999999994</v>
      </c>
      <c r="E527" s="106">
        <v>36.4</v>
      </c>
      <c r="F527" s="106">
        <v>18.5</v>
      </c>
      <c r="G527" s="106">
        <v>3</v>
      </c>
      <c r="H527" s="120">
        <v>207.36</v>
      </c>
      <c r="I527" s="120">
        <v>55</v>
      </c>
      <c r="L527" s="22">
        <v>2010</v>
      </c>
      <c r="M527" s="22">
        <v>152</v>
      </c>
    </row>
    <row r="528" spans="2:13" s="22" customFormat="1" x14ac:dyDescent="0.3">
      <c r="B528" s="42">
        <f t="shared" si="8"/>
        <v>40331</v>
      </c>
      <c r="D528" s="106">
        <v>17.7883</v>
      </c>
      <c r="E528" s="106">
        <v>35.25</v>
      </c>
      <c r="F528" s="106">
        <v>23.5</v>
      </c>
      <c r="G528" s="106">
        <v>0</v>
      </c>
      <c r="H528" s="120">
        <v>190.08</v>
      </c>
      <c r="I528" s="120">
        <v>56</v>
      </c>
      <c r="L528" s="22">
        <v>2010</v>
      </c>
      <c r="M528" s="22">
        <v>153</v>
      </c>
    </row>
    <row r="529" spans="2:13" s="22" customFormat="1" x14ac:dyDescent="0.3">
      <c r="B529" s="42">
        <f t="shared" si="8"/>
        <v>40332</v>
      </c>
      <c r="D529" s="106">
        <v>22.988600000000002</v>
      </c>
      <c r="E529" s="106">
        <v>34.5</v>
      </c>
      <c r="F529" s="106">
        <v>25</v>
      </c>
      <c r="G529" s="106">
        <v>0</v>
      </c>
      <c r="H529" s="120">
        <v>216</v>
      </c>
      <c r="I529" s="120">
        <v>57</v>
      </c>
      <c r="L529" s="22">
        <v>2010</v>
      </c>
      <c r="M529" s="22">
        <v>154</v>
      </c>
    </row>
    <row r="530" spans="2:13" s="22" customFormat="1" x14ac:dyDescent="0.3">
      <c r="B530" s="42">
        <f t="shared" si="8"/>
        <v>40333</v>
      </c>
      <c r="D530" s="106">
        <v>13.902699999999999</v>
      </c>
      <c r="E530" s="106">
        <v>33.799999999999997</v>
      </c>
      <c r="F530" s="106">
        <v>24.5</v>
      </c>
      <c r="G530" s="106">
        <v>0</v>
      </c>
      <c r="H530" s="120">
        <v>112.32</v>
      </c>
      <c r="I530" s="120">
        <v>40</v>
      </c>
      <c r="L530" s="22">
        <v>2010</v>
      </c>
      <c r="M530" s="22">
        <v>155</v>
      </c>
    </row>
    <row r="531" spans="2:13" s="22" customFormat="1" x14ac:dyDescent="0.3">
      <c r="B531" s="42">
        <f t="shared" si="8"/>
        <v>40334</v>
      </c>
      <c r="D531" s="106">
        <v>20.437000000000001</v>
      </c>
      <c r="E531" s="106">
        <v>33.75</v>
      </c>
      <c r="F531" s="106">
        <v>24.25</v>
      </c>
      <c r="G531" s="106">
        <v>0</v>
      </c>
      <c r="H531" s="120">
        <v>250.56</v>
      </c>
      <c r="I531" s="120">
        <v>45</v>
      </c>
      <c r="L531" s="22">
        <v>2010</v>
      </c>
      <c r="M531" s="22">
        <v>156</v>
      </c>
    </row>
    <row r="532" spans="2:13" s="22" customFormat="1" x14ac:dyDescent="0.3">
      <c r="B532" s="42">
        <f t="shared" si="8"/>
        <v>40335</v>
      </c>
      <c r="D532" s="106">
        <v>25.923500000000001</v>
      </c>
      <c r="E532" s="106">
        <v>35.5</v>
      </c>
      <c r="F532" s="106">
        <v>23.5</v>
      </c>
      <c r="G532" s="106">
        <v>0</v>
      </c>
      <c r="H532" s="120">
        <v>172.8</v>
      </c>
      <c r="I532" s="120">
        <v>54</v>
      </c>
      <c r="L532" s="22">
        <v>2010</v>
      </c>
      <c r="M532" s="22">
        <v>157</v>
      </c>
    </row>
    <row r="533" spans="2:13" s="22" customFormat="1" x14ac:dyDescent="0.3">
      <c r="B533" s="42">
        <f t="shared" si="8"/>
        <v>40336</v>
      </c>
      <c r="D533" s="106">
        <v>23.535299999999999</v>
      </c>
      <c r="E533" s="106">
        <v>37.4</v>
      </c>
      <c r="F533" s="106">
        <v>21.5</v>
      </c>
      <c r="G533" s="106">
        <v>6.5</v>
      </c>
      <c r="H533" s="120">
        <v>181.44</v>
      </c>
      <c r="I533" s="120">
        <v>59</v>
      </c>
      <c r="L533" s="22">
        <v>2010</v>
      </c>
      <c r="M533" s="22">
        <v>158</v>
      </c>
    </row>
    <row r="534" spans="2:13" s="22" customFormat="1" x14ac:dyDescent="0.3">
      <c r="B534" s="42">
        <f t="shared" si="8"/>
        <v>40337</v>
      </c>
      <c r="D534" s="106">
        <v>22.782499999999999</v>
      </c>
      <c r="E534" s="106">
        <v>36.25</v>
      </c>
      <c r="F534" s="106">
        <v>23</v>
      </c>
      <c r="G534" s="106">
        <v>0</v>
      </c>
      <c r="H534" s="120">
        <v>216</v>
      </c>
      <c r="I534" s="120">
        <v>59</v>
      </c>
      <c r="L534" s="22">
        <v>2010</v>
      </c>
      <c r="M534" s="22">
        <v>159</v>
      </c>
    </row>
    <row r="535" spans="2:13" s="22" customFormat="1" x14ac:dyDescent="0.3">
      <c r="B535" s="42">
        <f t="shared" si="8"/>
        <v>40338</v>
      </c>
      <c r="D535" s="106">
        <v>21.586099999999998</v>
      </c>
      <c r="E535" s="106">
        <v>34.25</v>
      </c>
      <c r="F535" s="106">
        <v>25.45</v>
      </c>
      <c r="G535" s="106">
        <v>24</v>
      </c>
      <c r="H535" s="120">
        <v>328.32</v>
      </c>
      <c r="I535" s="120">
        <v>59</v>
      </c>
      <c r="L535" s="22">
        <v>2010</v>
      </c>
      <c r="M535" s="22">
        <v>160</v>
      </c>
    </row>
    <row r="536" spans="2:13" s="22" customFormat="1" x14ac:dyDescent="0.3">
      <c r="B536" s="42">
        <f t="shared" si="8"/>
        <v>40339</v>
      </c>
      <c r="D536" s="106">
        <v>9.4225700000000003</v>
      </c>
      <c r="E536" s="106">
        <v>25</v>
      </c>
      <c r="F536" s="106">
        <v>19.5</v>
      </c>
      <c r="G536" s="106">
        <v>8</v>
      </c>
      <c r="H536" s="120">
        <v>233.28</v>
      </c>
      <c r="I536" s="120">
        <v>60</v>
      </c>
      <c r="L536" s="22">
        <v>2010</v>
      </c>
      <c r="M536" s="22">
        <v>161</v>
      </c>
    </row>
    <row r="537" spans="2:13" s="22" customFormat="1" x14ac:dyDescent="0.3">
      <c r="B537" s="42">
        <f t="shared" si="8"/>
        <v>40340</v>
      </c>
      <c r="D537" s="106">
        <v>25.569400000000002</v>
      </c>
      <c r="E537" s="106">
        <v>29.5</v>
      </c>
      <c r="F537" s="106">
        <v>22</v>
      </c>
      <c r="G537" s="106">
        <v>0</v>
      </c>
      <c r="H537" s="120">
        <v>146.88</v>
      </c>
      <c r="I537" s="120">
        <v>54</v>
      </c>
      <c r="L537" s="22">
        <v>2010</v>
      </c>
      <c r="M537" s="22">
        <v>162</v>
      </c>
    </row>
    <row r="538" spans="2:13" s="22" customFormat="1" x14ac:dyDescent="0.3">
      <c r="B538" s="42">
        <f t="shared" si="8"/>
        <v>40341</v>
      </c>
      <c r="D538" s="106">
        <v>24.671299999999999</v>
      </c>
      <c r="E538" s="106">
        <v>34.5</v>
      </c>
      <c r="F538" s="106">
        <v>23</v>
      </c>
      <c r="G538" s="106">
        <v>0</v>
      </c>
      <c r="H538" s="120">
        <v>129.6</v>
      </c>
      <c r="I538" s="120">
        <v>55</v>
      </c>
      <c r="L538" s="22">
        <v>2010</v>
      </c>
      <c r="M538" s="22">
        <v>163</v>
      </c>
    </row>
    <row r="539" spans="2:13" s="22" customFormat="1" x14ac:dyDescent="0.3">
      <c r="B539" s="42">
        <f t="shared" si="8"/>
        <v>40342</v>
      </c>
      <c r="D539" s="106">
        <v>18.593499999999999</v>
      </c>
      <c r="E539" s="106">
        <v>35.5</v>
      </c>
      <c r="F539" s="106">
        <v>25.2</v>
      </c>
      <c r="G539" s="106">
        <v>0</v>
      </c>
      <c r="H539" s="120">
        <v>198.72</v>
      </c>
      <c r="I539" s="120">
        <v>52</v>
      </c>
      <c r="L539" s="22">
        <v>2010</v>
      </c>
      <c r="M539" s="22">
        <v>164</v>
      </c>
    </row>
    <row r="540" spans="2:13" s="22" customFormat="1" x14ac:dyDescent="0.3">
      <c r="B540" s="42">
        <f t="shared" si="8"/>
        <v>40343</v>
      </c>
      <c r="D540" s="106">
        <v>24.211200000000002</v>
      </c>
      <c r="E540" s="106">
        <v>35.450000000000003</v>
      </c>
      <c r="F540" s="106">
        <v>23.5</v>
      </c>
      <c r="G540" s="106">
        <v>0</v>
      </c>
      <c r="H540" s="120">
        <v>302.39999999999998</v>
      </c>
      <c r="I540" s="120">
        <v>62</v>
      </c>
      <c r="L540" s="22">
        <v>2010</v>
      </c>
      <c r="M540" s="22">
        <v>165</v>
      </c>
    </row>
    <row r="541" spans="2:13" s="22" customFormat="1" x14ac:dyDescent="0.3">
      <c r="B541" s="42">
        <f t="shared" si="8"/>
        <v>40344</v>
      </c>
      <c r="D541" s="106">
        <v>24.2042</v>
      </c>
      <c r="E541" s="106">
        <v>34</v>
      </c>
      <c r="F541" s="106">
        <v>25</v>
      </c>
      <c r="G541" s="106">
        <v>0</v>
      </c>
      <c r="H541" s="120">
        <v>241.92</v>
      </c>
      <c r="I541" s="120">
        <v>59</v>
      </c>
      <c r="L541" s="22">
        <v>2010</v>
      </c>
      <c r="M541" s="22">
        <v>166</v>
      </c>
    </row>
    <row r="542" spans="2:13" s="22" customFormat="1" x14ac:dyDescent="0.3">
      <c r="B542" s="42">
        <f t="shared" si="8"/>
        <v>40345</v>
      </c>
      <c r="D542" s="106">
        <v>26.1205</v>
      </c>
      <c r="E542" s="106">
        <v>34.75</v>
      </c>
      <c r="F542" s="106">
        <v>25</v>
      </c>
      <c r="G542" s="106">
        <v>0</v>
      </c>
      <c r="H542" s="120">
        <v>207.36</v>
      </c>
      <c r="I542" s="120">
        <v>55</v>
      </c>
      <c r="L542" s="22">
        <v>2010</v>
      </c>
      <c r="M542" s="22">
        <v>167</v>
      </c>
    </row>
    <row r="543" spans="2:13" s="22" customFormat="1" x14ac:dyDescent="0.3">
      <c r="B543" s="42">
        <f t="shared" si="8"/>
        <v>40346</v>
      </c>
      <c r="D543" s="106">
        <v>9.4076299999999993</v>
      </c>
      <c r="E543" s="106">
        <v>31.8</v>
      </c>
      <c r="F543" s="106">
        <v>20.5</v>
      </c>
      <c r="G543" s="106">
        <v>12</v>
      </c>
      <c r="H543" s="120">
        <v>172.8</v>
      </c>
      <c r="I543" s="120">
        <v>54</v>
      </c>
      <c r="L543" s="22">
        <v>2010</v>
      </c>
      <c r="M543" s="22">
        <v>168</v>
      </c>
    </row>
    <row r="544" spans="2:13" s="22" customFormat="1" x14ac:dyDescent="0.3">
      <c r="B544" s="42">
        <f t="shared" si="8"/>
        <v>40347</v>
      </c>
      <c r="D544" s="106">
        <v>21.674600000000002</v>
      </c>
      <c r="E544" s="106">
        <v>31.25</v>
      </c>
      <c r="F544" s="106">
        <v>23.5</v>
      </c>
      <c r="G544" s="106">
        <v>0</v>
      </c>
      <c r="H544" s="120">
        <v>164.16</v>
      </c>
      <c r="I544" s="120">
        <v>53</v>
      </c>
      <c r="L544" s="22">
        <v>2010</v>
      </c>
      <c r="M544" s="22">
        <v>169</v>
      </c>
    </row>
    <row r="545" spans="2:13" s="22" customFormat="1" x14ac:dyDescent="0.3">
      <c r="B545" s="42">
        <f t="shared" si="8"/>
        <v>40348</v>
      </c>
      <c r="D545" s="106">
        <v>24.3309</v>
      </c>
      <c r="E545" s="106">
        <v>34.5</v>
      </c>
      <c r="F545" s="106">
        <v>23.25</v>
      </c>
      <c r="G545" s="106">
        <v>0</v>
      </c>
      <c r="H545" s="120">
        <v>207.36</v>
      </c>
      <c r="I545" s="120">
        <v>51</v>
      </c>
      <c r="L545" s="22">
        <v>2010</v>
      </c>
      <c r="M545" s="22">
        <v>170</v>
      </c>
    </row>
    <row r="546" spans="2:13" s="22" customFormat="1" x14ac:dyDescent="0.3">
      <c r="B546" s="42">
        <f t="shared" si="8"/>
        <v>40349</v>
      </c>
      <c r="D546" s="106">
        <v>24.327300000000001</v>
      </c>
      <c r="E546" s="106">
        <v>35</v>
      </c>
      <c r="F546" s="106">
        <v>24.5</v>
      </c>
      <c r="G546" s="106">
        <v>0</v>
      </c>
      <c r="H546" s="120">
        <v>216</v>
      </c>
      <c r="I546" s="120">
        <v>57</v>
      </c>
      <c r="L546" s="22">
        <v>2010</v>
      </c>
      <c r="M546" s="22">
        <v>171</v>
      </c>
    </row>
    <row r="547" spans="2:13" s="22" customFormat="1" x14ac:dyDescent="0.3">
      <c r="B547" s="42">
        <f t="shared" si="8"/>
        <v>40350</v>
      </c>
      <c r="D547" s="106">
        <v>23.437899999999999</v>
      </c>
      <c r="E547" s="106">
        <v>35.5</v>
      </c>
      <c r="F547" s="106">
        <v>25</v>
      </c>
      <c r="G547" s="106">
        <v>2</v>
      </c>
      <c r="H547" s="120">
        <v>198.72</v>
      </c>
      <c r="I547" s="120">
        <v>62</v>
      </c>
      <c r="L547" s="22">
        <v>2010</v>
      </c>
      <c r="M547" s="22">
        <v>172</v>
      </c>
    </row>
    <row r="548" spans="2:13" s="22" customFormat="1" x14ac:dyDescent="0.3">
      <c r="B548" s="42">
        <f t="shared" si="8"/>
        <v>40351</v>
      </c>
      <c r="D548" s="106">
        <v>18.708400000000001</v>
      </c>
      <c r="E548" s="106">
        <v>34.75</v>
      </c>
      <c r="F548" s="106">
        <v>22</v>
      </c>
      <c r="G548" s="106">
        <v>0</v>
      </c>
      <c r="H548" s="120">
        <v>120.96</v>
      </c>
      <c r="I548" s="120">
        <v>49</v>
      </c>
      <c r="L548" s="22">
        <v>2010</v>
      </c>
      <c r="M548" s="22">
        <v>173</v>
      </c>
    </row>
    <row r="549" spans="2:13" s="22" customFormat="1" x14ac:dyDescent="0.3">
      <c r="B549" s="42">
        <f t="shared" si="8"/>
        <v>40352</v>
      </c>
      <c r="D549" s="106">
        <v>20.0367</v>
      </c>
      <c r="E549" s="106">
        <v>34.75</v>
      </c>
      <c r="F549" s="106">
        <v>21.5</v>
      </c>
      <c r="G549" s="106">
        <v>0</v>
      </c>
      <c r="H549" s="120">
        <v>155.52000000000001</v>
      </c>
      <c r="I549" s="120">
        <v>51</v>
      </c>
      <c r="L549" s="22">
        <v>2010</v>
      </c>
      <c r="M549" s="22">
        <v>174</v>
      </c>
    </row>
    <row r="550" spans="2:13" s="22" customFormat="1" x14ac:dyDescent="0.3">
      <c r="B550" s="42">
        <f t="shared" si="8"/>
        <v>40353</v>
      </c>
      <c r="D550" s="106">
        <v>22.694900000000001</v>
      </c>
      <c r="E550" s="106">
        <v>35.5</v>
      </c>
      <c r="F550" s="106">
        <v>25.5</v>
      </c>
      <c r="G550" s="106">
        <v>28</v>
      </c>
      <c r="H550" s="120">
        <v>276.48</v>
      </c>
      <c r="I550" s="120">
        <v>62</v>
      </c>
      <c r="L550" s="22">
        <v>2010</v>
      </c>
      <c r="M550" s="22">
        <v>175</v>
      </c>
    </row>
    <row r="551" spans="2:13" s="22" customFormat="1" x14ac:dyDescent="0.3">
      <c r="B551" s="42">
        <f t="shared" si="8"/>
        <v>40354</v>
      </c>
      <c r="D551" s="106">
        <v>9.3996999999999993</v>
      </c>
      <c r="E551" s="106">
        <v>34</v>
      </c>
      <c r="F551" s="106">
        <v>18.5</v>
      </c>
      <c r="G551" s="106">
        <v>0</v>
      </c>
      <c r="H551" s="120">
        <v>345.6</v>
      </c>
      <c r="I551" s="120">
        <v>64</v>
      </c>
      <c r="L551" s="22">
        <v>2010</v>
      </c>
      <c r="M551" s="22">
        <v>176</v>
      </c>
    </row>
    <row r="552" spans="2:13" s="22" customFormat="1" x14ac:dyDescent="0.3">
      <c r="B552" s="42">
        <f t="shared" si="8"/>
        <v>40355</v>
      </c>
      <c r="D552" s="106">
        <v>20.183700000000002</v>
      </c>
      <c r="E552" s="106">
        <v>34.5</v>
      </c>
      <c r="F552" s="106">
        <v>22.5</v>
      </c>
      <c r="G552" s="106">
        <v>1.4</v>
      </c>
      <c r="H552" s="120">
        <v>233.28</v>
      </c>
      <c r="I552" s="120">
        <v>64</v>
      </c>
      <c r="L552" s="22">
        <v>2010</v>
      </c>
      <c r="M552" s="22">
        <v>177</v>
      </c>
    </row>
    <row r="553" spans="2:13" s="22" customFormat="1" x14ac:dyDescent="0.3">
      <c r="B553" s="42">
        <f t="shared" si="8"/>
        <v>40356</v>
      </c>
      <c r="D553" s="106">
        <v>12.9451</v>
      </c>
      <c r="E553" s="106">
        <v>31.25</v>
      </c>
      <c r="F553" s="106">
        <v>21</v>
      </c>
      <c r="G553" s="106">
        <v>25</v>
      </c>
      <c r="H553" s="120">
        <v>172.8</v>
      </c>
      <c r="I553" s="120">
        <v>65</v>
      </c>
      <c r="L553" s="22">
        <v>2010</v>
      </c>
      <c r="M553" s="22">
        <v>178</v>
      </c>
    </row>
    <row r="554" spans="2:13" s="22" customFormat="1" x14ac:dyDescent="0.3">
      <c r="B554" s="42">
        <f t="shared" si="8"/>
        <v>40357</v>
      </c>
      <c r="D554" s="106">
        <v>24.3233</v>
      </c>
      <c r="E554" s="106">
        <v>31.5</v>
      </c>
      <c r="F554" s="106">
        <v>23.25</v>
      </c>
      <c r="G554" s="106">
        <v>0</v>
      </c>
      <c r="H554" s="120">
        <v>112.32</v>
      </c>
      <c r="I554" s="120">
        <v>59</v>
      </c>
      <c r="L554" s="22">
        <v>2010</v>
      </c>
      <c r="M554" s="22">
        <v>179</v>
      </c>
    </row>
    <row r="555" spans="2:13" s="22" customFormat="1" x14ac:dyDescent="0.3">
      <c r="B555" s="42">
        <f t="shared" ref="B555:B618" si="9">DATE(L555-1,12,31)+M555</f>
        <v>40358</v>
      </c>
      <c r="D555" s="106">
        <v>22.847999999999999</v>
      </c>
      <c r="E555" s="106">
        <v>33.75</v>
      </c>
      <c r="F555" s="106">
        <v>23.5</v>
      </c>
      <c r="G555" s="106">
        <v>5</v>
      </c>
      <c r="H555" s="120">
        <v>103.68</v>
      </c>
      <c r="I555" s="120">
        <v>59</v>
      </c>
      <c r="L555" s="22">
        <v>2010</v>
      </c>
      <c r="M555" s="22">
        <v>180</v>
      </c>
    </row>
    <row r="556" spans="2:13" s="22" customFormat="1" x14ac:dyDescent="0.3">
      <c r="B556" s="42">
        <f t="shared" si="9"/>
        <v>40359</v>
      </c>
      <c r="D556" s="106">
        <v>17.825299999999999</v>
      </c>
      <c r="E556" s="106">
        <v>33.5</v>
      </c>
      <c r="F556" s="106">
        <v>21.5</v>
      </c>
      <c r="G556" s="106">
        <v>0</v>
      </c>
      <c r="H556" s="120">
        <v>190.08</v>
      </c>
      <c r="I556" s="120">
        <v>58</v>
      </c>
      <c r="L556" s="22">
        <v>2010</v>
      </c>
      <c r="M556" s="22">
        <v>181</v>
      </c>
    </row>
    <row r="557" spans="2:13" s="22" customFormat="1" x14ac:dyDescent="0.3">
      <c r="B557" s="42">
        <f t="shared" si="9"/>
        <v>40360</v>
      </c>
      <c r="D557" s="106">
        <v>16.7927</v>
      </c>
      <c r="E557" s="106">
        <v>33.5</v>
      </c>
      <c r="F557" s="106">
        <v>20</v>
      </c>
      <c r="G557" s="106">
        <v>0</v>
      </c>
      <c r="H557" s="120">
        <v>259.2</v>
      </c>
      <c r="I557" s="120">
        <v>58</v>
      </c>
      <c r="L557" s="22">
        <v>2010</v>
      </c>
      <c r="M557" s="22">
        <v>182</v>
      </c>
    </row>
    <row r="558" spans="2:13" s="22" customFormat="1" x14ac:dyDescent="0.3">
      <c r="B558" s="42">
        <f t="shared" si="9"/>
        <v>40361</v>
      </c>
      <c r="D558" s="106">
        <v>17.091000000000001</v>
      </c>
      <c r="E558" s="106">
        <v>31.5</v>
      </c>
      <c r="F558" s="106">
        <v>22</v>
      </c>
      <c r="G558" s="106">
        <v>0</v>
      </c>
      <c r="H558" s="120">
        <v>302.39999999999998</v>
      </c>
      <c r="I558" s="120">
        <v>41</v>
      </c>
      <c r="L558" s="22">
        <v>2010</v>
      </c>
      <c r="M558" s="22">
        <v>183</v>
      </c>
    </row>
    <row r="559" spans="2:13" s="22" customFormat="1" x14ac:dyDescent="0.3">
      <c r="B559" s="42">
        <f t="shared" si="9"/>
        <v>40362</v>
      </c>
      <c r="D559" s="106">
        <v>16.798200000000001</v>
      </c>
      <c r="E559" s="106">
        <v>31.25</v>
      </c>
      <c r="F559" s="106">
        <v>21.5</v>
      </c>
      <c r="G559" s="106">
        <v>0</v>
      </c>
      <c r="H559" s="120">
        <v>129.6</v>
      </c>
      <c r="I559" s="120">
        <v>45</v>
      </c>
      <c r="L559" s="22">
        <v>2010</v>
      </c>
      <c r="M559" s="22">
        <v>184</v>
      </c>
    </row>
    <row r="560" spans="2:13" s="22" customFormat="1" x14ac:dyDescent="0.3">
      <c r="B560" s="42">
        <f t="shared" si="9"/>
        <v>40363</v>
      </c>
      <c r="D560" s="106">
        <v>24.792400000000001</v>
      </c>
      <c r="E560" s="106">
        <v>33.5</v>
      </c>
      <c r="F560" s="106">
        <v>21.5</v>
      </c>
      <c r="G560" s="106">
        <v>0</v>
      </c>
      <c r="H560" s="120">
        <v>146.88</v>
      </c>
      <c r="I560" s="120">
        <v>57</v>
      </c>
      <c r="L560" s="22">
        <v>2010</v>
      </c>
      <c r="M560" s="22">
        <v>185</v>
      </c>
    </row>
    <row r="561" spans="2:13" s="22" customFormat="1" x14ac:dyDescent="0.3">
      <c r="B561" s="42">
        <f t="shared" si="9"/>
        <v>40364</v>
      </c>
      <c r="D561" s="106">
        <v>21.246099999999998</v>
      </c>
      <c r="E561" s="106">
        <v>35.25</v>
      </c>
      <c r="F561" s="106">
        <v>23.5</v>
      </c>
      <c r="G561" s="106">
        <v>0</v>
      </c>
      <c r="H561" s="120">
        <v>207.36</v>
      </c>
      <c r="I561" s="120">
        <v>64</v>
      </c>
      <c r="L561" s="22">
        <v>2010</v>
      </c>
      <c r="M561" s="22">
        <v>186</v>
      </c>
    </row>
    <row r="562" spans="2:13" s="22" customFormat="1" x14ac:dyDescent="0.3">
      <c r="B562" s="42">
        <f t="shared" si="9"/>
        <v>40365</v>
      </c>
      <c r="D562" s="106">
        <v>19.770900000000001</v>
      </c>
      <c r="E562" s="106">
        <v>35</v>
      </c>
      <c r="F562" s="106">
        <v>22.45</v>
      </c>
      <c r="G562" s="106">
        <v>0</v>
      </c>
      <c r="H562" s="120">
        <v>276.48</v>
      </c>
      <c r="I562" s="120">
        <v>63</v>
      </c>
      <c r="L562" s="22">
        <v>2010</v>
      </c>
      <c r="M562" s="22">
        <v>187</v>
      </c>
    </row>
    <row r="563" spans="2:13" s="22" customFormat="1" x14ac:dyDescent="0.3">
      <c r="B563" s="42">
        <f t="shared" si="9"/>
        <v>40366</v>
      </c>
      <c r="D563" s="106">
        <v>18.443100000000001</v>
      </c>
      <c r="E563" s="106">
        <v>33</v>
      </c>
      <c r="F563" s="106">
        <v>22.4</v>
      </c>
      <c r="G563" s="106">
        <v>0</v>
      </c>
      <c r="H563" s="120">
        <v>198.72</v>
      </c>
      <c r="I563" s="120">
        <v>60</v>
      </c>
      <c r="L563" s="22">
        <v>2010</v>
      </c>
      <c r="M563" s="22">
        <v>188</v>
      </c>
    </row>
    <row r="564" spans="2:13" s="22" customFormat="1" x14ac:dyDescent="0.3">
      <c r="B564" s="42">
        <f t="shared" si="9"/>
        <v>40367</v>
      </c>
      <c r="D564" s="106">
        <v>18.448499999999999</v>
      </c>
      <c r="E564" s="106">
        <v>33.5</v>
      </c>
      <c r="F564" s="106">
        <v>24.25</v>
      </c>
      <c r="G564" s="106">
        <v>0</v>
      </c>
      <c r="H564" s="120">
        <v>103.68</v>
      </c>
      <c r="I564" s="120">
        <v>60</v>
      </c>
      <c r="L564" s="22">
        <v>2010</v>
      </c>
      <c r="M564" s="22">
        <v>189</v>
      </c>
    </row>
    <row r="565" spans="2:13" s="22" customFormat="1" x14ac:dyDescent="0.3">
      <c r="B565" s="42">
        <f t="shared" si="9"/>
        <v>40368</v>
      </c>
      <c r="D565" s="106">
        <v>19.195699999999999</v>
      </c>
      <c r="E565" s="106">
        <v>34</v>
      </c>
      <c r="F565" s="106">
        <v>21.5</v>
      </c>
      <c r="G565" s="106">
        <v>0</v>
      </c>
      <c r="H565" s="120">
        <v>77.760000000000005</v>
      </c>
      <c r="I565" s="120">
        <v>47</v>
      </c>
      <c r="L565" s="22">
        <v>2010</v>
      </c>
      <c r="M565" s="22">
        <v>190</v>
      </c>
    </row>
    <row r="566" spans="2:13" s="22" customFormat="1" x14ac:dyDescent="0.3">
      <c r="B566" s="42">
        <f t="shared" si="9"/>
        <v>40369</v>
      </c>
      <c r="D566" s="106">
        <v>16.976700000000001</v>
      </c>
      <c r="E566" s="106">
        <v>34</v>
      </c>
      <c r="F566" s="106">
        <v>19.5</v>
      </c>
      <c r="G566" s="106">
        <v>7</v>
      </c>
      <c r="H566" s="120">
        <v>198.72</v>
      </c>
      <c r="I566" s="120">
        <v>58</v>
      </c>
      <c r="L566" s="22">
        <v>2010</v>
      </c>
      <c r="M566" s="22">
        <v>191</v>
      </c>
    </row>
    <row r="567" spans="2:13" s="22" customFormat="1" x14ac:dyDescent="0.3">
      <c r="B567" s="42">
        <f t="shared" si="9"/>
        <v>40370</v>
      </c>
      <c r="D567" s="106">
        <v>21.435700000000001</v>
      </c>
      <c r="E567" s="106">
        <v>34.5</v>
      </c>
      <c r="F567" s="106">
        <v>21</v>
      </c>
      <c r="G567" s="106">
        <v>30</v>
      </c>
      <c r="H567" s="120">
        <v>198.72</v>
      </c>
      <c r="I567" s="120">
        <v>67</v>
      </c>
      <c r="L567" s="22">
        <v>2010</v>
      </c>
      <c r="M567" s="22">
        <v>192</v>
      </c>
    </row>
    <row r="568" spans="2:13" s="22" customFormat="1" x14ac:dyDescent="0.3">
      <c r="B568" s="42">
        <f t="shared" si="9"/>
        <v>40371</v>
      </c>
      <c r="D568" s="106">
        <v>12.829599999999999</v>
      </c>
      <c r="E568" s="106">
        <v>31.75</v>
      </c>
      <c r="F568" s="106">
        <v>20.5</v>
      </c>
      <c r="G568" s="106">
        <v>22</v>
      </c>
      <c r="H568" s="120">
        <v>51.84</v>
      </c>
      <c r="I568" s="120">
        <v>73</v>
      </c>
      <c r="L568" s="22">
        <v>2010</v>
      </c>
      <c r="M568" s="22">
        <v>193</v>
      </c>
    </row>
    <row r="569" spans="2:13" s="22" customFormat="1" x14ac:dyDescent="0.3">
      <c r="B569" s="42">
        <f t="shared" si="9"/>
        <v>40372</v>
      </c>
      <c r="D569" s="106">
        <v>26.059899999999999</v>
      </c>
      <c r="E569" s="106">
        <v>32</v>
      </c>
      <c r="F569" s="106">
        <v>21.5</v>
      </c>
      <c r="G569" s="106">
        <v>0</v>
      </c>
      <c r="H569" s="120">
        <v>77.760000000000005</v>
      </c>
      <c r="I569" s="120">
        <v>66</v>
      </c>
      <c r="L569" s="22">
        <v>2010</v>
      </c>
      <c r="M569" s="22">
        <v>194</v>
      </c>
    </row>
    <row r="570" spans="2:13" s="22" customFormat="1" x14ac:dyDescent="0.3">
      <c r="B570" s="42">
        <f t="shared" si="9"/>
        <v>40373</v>
      </c>
      <c r="D570" s="106">
        <v>21.313300000000002</v>
      </c>
      <c r="E570" s="106">
        <v>33.5</v>
      </c>
      <c r="F570" s="106">
        <v>22.5</v>
      </c>
      <c r="G570" s="106">
        <v>0</v>
      </c>
      <c r="H570" s="120">
        <v>146.88</v>
      </c>
      <c r="I570" s="120">
        <v>66</v>
      </c>
      <c r="L570" s="22">
        <v>2010</v>
      </c>
      <c r="M570" s="22">
        <v>195</v>
      </c>
    </row>
    <row r="571" spans="2:13" s="22" customFormat="1" x14ac:dyDescent="0.3">
      <c r="B571" s="42">
        <f t="shared" si="9"/>
        <v>40374</v>
      </c>
      <c r="D571" s="106">
        <v>23.257000000000001</v>
      </c>
      <c r="E571" s="106">
        <v>34.25</v>
      </c>
      <c r="F571" s="106">
        <v>21.5</v>
      </c>
      <c r="G571" s="106">
        <v>0</v>
      </c>
      <c r="H571" s="120">
        <v>285.12</v>
      </c>
      <c r="I571" s="120">
        <v>74</v>
      </c>
      <c r="L571" s="22">
        <v>2010</v>
      </c>
      <c r="M571" s="22">
        <v>196</v>
      </c>
    </row>
    <row r="572" spans="2:13" s="22" customFormat="1" x14ac:dyDescent="0.3">
      <c r="B572" s="42">
        <f t="shared" si="9"/>
        <v>40375</v>
      </c>
      <c r="D572" s="106">
        <v>19.9923</v>
      </c>
      <c r="E572" s="106">
        <v>33.25</v>
      </c>
      <c r="F572" s="106">
        <v>24</v>
      </c>
      <c r="G572" s="106">
        <v>1.5</v>
      </c>
      <c r="H572" s="120">
        <v>250.56</v>
      </c>
      <c r="I572" s="120">
        <v>75</v>
      </c>
      <c r="L572" s="22">
        <v>2010</v>
      </c>
      <c r="M572" s="22">
        <v>197</v>
      </c>
    </row>
    <row r="573" spans="2:13" s="22" customFormat="1" x14ac:dyDescent="0.3">
      <c r="B573" s="42">
        <f t="shared" si="9"/>
        <v>40376</v>
      </c>
      <c r="D573" s="106">
        <v>20.001300000000001</v>
      </c>
      <c r="E573" s="106">
        <v>33</v>
      </c>
      <c r="F573" s="106">
        <v>20.6</v>
      </c>
      <c r="G573" s="106">
        <v>0</v>
      </c>
      <c r="H573" s="120">
        <v>138.24</v>
      </c>
      <c r="I573" s="120">
        <v>76</v>
      </c>
      <c r="L573" s="22">
        <v>2010</v>
      </c>
      <c r="M573" s="22">
        <v>198</v>
      </c>
    </row>
    <row r="574" spans="2:13" s="22" customFormat="1" x14ac:dyDescent="0.3">
      <c r="B574" s="42">
        <f t="shared" si="9"/>
        <v>40377</v>
      </c>
      <c r="D574" s="106">
        <v>25.228899999999999</v>
      </c>
      <c r="E574" s="106">
        <v>32.75</v>
      </c>
      <c r="F574" s="106">
        <v>21.75</v>
      </c>
      <c r="G574" s="106">
        <v>0</v>
      </c>
      <c r="H574" s="120">
        <v>190.08</v>
      </c>
      <c r="I574" s="120">
        <v>71</v>
      </c>
      <c r="L574" s="22">
        <v>2010</v>
      </c>
      <c r="M574" s="22">
        <v>199</v>
      </c>
    </row>
    <row r="575" spans="2:13" s="22" customFormat="1" x14ac:dyDescent="0.3">
      <c r="B575" s="42">
        <f t="shared" si="9"/>
        <v>40378</v>
      </c>
      <c r="D575" s="106">
        <v>25.391300000000001</v>
      </c>
      <c r="E575" s="106">
        <v>33.25</v>
      </c>
      <c r="F575" s="106">
        <v>23.25</v>
      </c>
      <c r="G575" s="106">
        <v>3</v>
      </c>
      <c r="H575" s="120">
        <v>224.64</v>
      </c>
      <c r="I575" s="120">
        <v>69</v>
      </c>
      <c r="L575" s="22">
        <v>2010</v>
      </c>
      <c r="M575" s="22">
        <v>200</v>
      </c>
    </row>
    <row r="576" spans="2:13" s="22" customFormat="1" x14ac:dyDescent="0.3">
      <c r="B576" s="42">
        <f t="shared" si="9"/>
        <v>40379</v>
      </c>
      <c r="D576" s="106">
        <v>12.564399999999999</v>
      </c>
      <c r="E576" s="106">
        <v>32</v>
      </c>
      <c r="F576" s="106">
        <v>20.5</v>
      </c>
      <c r="G576" s="106">
        <v>0</v>
      </c>
      <c r="H576" s="120">
        <v>276.48</v>
      </c>
      <c r="I576" s="120">
        <v>75</v>
      </c>
      <c r="L576" s="22">
        <v>2010</v>
      </c>
      <c r="M576" s="22">
        <v>201</v>
      </c>
    </row>
    <row r="577" spans="2:13" s="22" customFormat="1" x14ac:dyDescent="0.3">
      <c r="B577" s="42">
        <f t="shared" si="9"/>
        <v>40380</v>
      </c>
      <c r="D577" s="106">
        <v>24.821000000000002</v>
      </c>
      <c r="E577" s="106">
        <v>30.5</v>
      </c>
      <c r="F577" s="106">
        <v>23</v>
      </c>
      <c r="G577" s="106">
        <v>0</v>
      </c>
      <c r="H577" s="120">
        <v>311.04000000000002</v>
      </c>
      <c r="I577" s="120">
        <v>73</v>
      </c>
      <c r="L577" s="22">
        <v>2010</v>
      </c>
      <c r="M577" s="22">
        <v>202</v>
      </c>
    </row>
    <row r="578" spans="2:13" s="22" customFormat="1" x14ac:dyDescent="0.3">
      <c r="B578" s="42">
        <f t="shared" si="9"/>
        <v>40381</v>
      </c>
      <c r="D578" s="106">
        <v>19.302</v>
      </c>
      <c r="E578" s="106">
        <v>29</v>
      </c>
      <c r="F578" s="106">
        <v>21.25</v>
      </c>
      <c r="G578" s="106">
        <v>20</v>
      </c>
      <c r="H578" s="120">
        <v>276.48</v>
      </c>
      <c r="I578" s="120">
        <v>78</v>
      </c>
      <c r="L578" s="22">
        <v>2010</v>
      </c>
      <c r="M578" s="22">
        <v>203</v>
      </c>
    </row>
    <row r="579" spans="2:13" s="22" customFormat="1" x14ac:dyDescent="0.3">
      <c r="B579" s="42">
        <f t="shared" si="9"/>
        <v>40382</v>
      </c>
      <c r="D579" s="106">
        <v>9.43506</v>
      </c>
      <c r="E579" s="106">
        <v>32</v>
      </c>
      <c r="F579" s="106">
        <v>20</v>
      </c>
      <c r="G579" s="106">
        <v>37.5</v>
      </c>
      <c r="H579" s="120">
        <v>259.2</v>
      </c>
      <c r="I579" s="120">
        <v>76</v>
      </c>
      <c r="L579" s="22">
        <v>2010</v>
      </c>
      <c r="M579" s="22">
        <v>204</v>
      </c>
    </row>
    <row r="580" spans="2:13" s="22" customFormat="1" x14ac:dyDescent="0.3">
      <c r="B580" s="42">
        <f t="shared" si="9"/>
        <v>40383</v>
      </c>
      <c r="D580" s="106">
        <v>9.4370399999999997</v>
      </c>
      <c r="E580" s="106">
        <v>27</v>
      </c>
      <c r="F580" s="106">
        <v>20</v>
      </c>
      <c r="G580" s="106">
        <v>4</v>
      </c>
      <c r="H580" s="120">
        <v>276.48</v>
      </c>
      <c r="I580" s="120">
        <v>76</v>
      </c>
      <c r="L580" s="22">
        <v>2010</v>
      </c>
      <c r="M580" s="22">
        <v>205</v>
      </c>
    </row>
    <row r="581" spans="2:13" s="22" customFormat="1" x14ac:dyDescent="0.3">
      <c r="B581" s="42">
        <f t="shared" si="9"/>
        <v>40384</v>
      </c>
      <c r="D581" s="106">
        <v>22.028600000000001</v>
      </c>
      <c r="E581" s="106">
        <v>29.25</v>
      </c>
      <c r="F581" s="106">
        <v>20</v>
      </c>
      <c r="G581" s="106">
        <v>0</v>
      </c>
      <c r="H581" s="120">
        <v>259.2</v>
      </c>
      <c r="I581" s="120">
        <v>65</v>
      </c>
      <c r="L581" s="22">
        <v>2010</v>
      </c>
      <c r="M581" s="22">
        <v>206</v>
      </c>
    </row>
    <row r="582" spans="2:13" s="22" customFormat="1" x14ac:dyDescent="0.3">
      <c r="B582" s="42">
        <f t="shared" si="9"/>
        <v>40385</v>
      </c>
      <c r="D582" s="106">
        <v>18.4405</v>
      </c>
      <c r="E582" s="106">
        <v>29.5</v>
      </c>
      <c r="F582" s="106">
        <v>21</v>
      </c>
      <c r="G582" s="106">
        <v>0</v>
      </c>
      <c r="H582" s="120">
        <v>190.08</v>
      </c>
      <c r="I582" s="120">
        <v>64</v>
      </c>
      <c r="L582" s="22">
        <v>2010</v>
      </c>
      <c r="M582" s="22">
        <v>207</v>
      </c>
    </row>
    <row r="583" spans="2:13" s="22" customFormat="1" x14ac:dyDescent="0.3">
      <c r="B583" s="42">
        <f t="shared" si="9"/>
        <v>40386</v>
      </c>
      <c r="D583" s="106">
        <v>19.950700000000001</v>
      </c>
      <c r="E583" s="106">
        <v>30</v>
      </c>
      <c r="F583" s="106">
        <v>21.25</v>
      </c>
      <c r="G583" s="106">
        <v>48</v>
      </c>
      <c r="H583" s="120">
        <v>146.88</v>
      </c>
      <c r="I583" s="120">
        <v>69</v>
      </c>
      <c r="L583" s="22">
        <v>2010</v>
      </c>
      <c r="M583" s="22">
        <v>208</v>
      </c>
    </row>
    <row r="584" spans="2:13" s="22" customFormat="1" x14ac:dyDescent="0.3">
      <c r="B584" s="42">
        <f t="shared" si="9"/>
        <v>40387</v>
      </c>
      <c r="D584" s="106">
        <v>15.603999999999999</v>
      </c>
      <c r="E584" s="106">
        <v>31</v>
      </c>
      <c r="F584" s="106">
        <v>20.5</v>
      </c>
      <c r="G584" s="106">
        <v>0</v>
      </c>
      <c r="H584" s="120">
        <v>216</v>
      </c>
      <c r="I584" s="120">
        <v>61</v>
      </c>
      <c r="L584" s="22">
        <v>2010</v>
      </c>
      <c r="M584" s="22">
        <v>209</v>
      </c>
    </row>
    <row r="585" spans="2:13" s="22" customFormat="1" x14ac:dyDescent="0.3">
      <c r="B585" s="42">
        <f t="shared" si="9"/>
        <v>40388</v>
      </c>
      <c r="D585" s="106">
        <v>14.4078</v>
      </c>
      <c r="E585" s="106">
        <v>29.5</v>
      </c>
      <c r="F585" s="106">
        <v>20.5</v>
      </c>
      <c r="G585" s="106">
        <v>35</v>
      </c>
      <c r="H585" s="120">
        <v>181.44</v>
      </c>
      <c r="I585" s="120">
        <v>72</v>
      </c>
      <c r="L585" s="22">
        <v>2010</v>
      </c>
      <c r="M585" s="22">
        <v>210</v>
      </c>
    </row>
    <row r="586" spans="2:13" s="22" customFormat="1" x14ac:dyDescent="0.3">
      <c r="B586" s="42">
        <f t="shared" si="9"/>
        <v>40389</v>
      </c>
      <c r="D586" s="106">
        <v>18.476199999999999</v>
      </c>
      <c r="E586" s="106">
        <v>32</v>
      </c>
      <c r="F586" s="106">
        <v>20.7</v>
      </c>
      <c r="G586" s="106">
        <v>1</v>
      </c>
      <c r="H586" s="120">
        <v>155.52000000000001</v>
      </c>
      <c r="I586" s="120">
        <v>75</v>
      </c>
      <c r="L586" s="22">
        <v>2010</v>
      </c>
      <c r="M586" s="22">
        <v>211</v>
      </c>
    </row>
    <row r="587" spans="2:13" s="22" customFormat="1" x14ac:dyDescent="0.3">
      <c r="B587" s="42">
        <f t="shared" si="9"/>
        <v>40390</v>
      </c>
      <c r="D587" s="106">
        <v>23.003</v>
      </c>
      <c r="E587" s="106">
        <v>31.5</v>
      </c>
      <c r="F587" s="106">
        <v>20.5</v>
      </c>
      <c r="G587" s="106">
        <v>8</v>
      </c>
      <c r="H587" s="120">
        <v>181.44</v>
      </c>
      <c r="I587" s="120">
        <v>66</v>
      </c>
      <c r="L587" s="22">
        <v>2010</v>
      </c>
      <c r="M587" s="22">
        <v>212</v>
      </c>
    </row>
    <row r="588" spans="2:13" s="22" customFormat="1" x14ac:dyDescent="0.3">
      <c r="B588" s="42">
        <f t="shared" si="9"/>
        <v>40391</v>
      </c>
      <c r="D588" s="106">
        <v>21.8095</v>
      </c>
      <c r="E588" s="106">
        <v>31</v>
      </c>
      <c r="F588" s="106">
        <v>20.5</v>
      </c>
      <c r="G588" s="106">
        <v>38</v>
      </c>
      <c r="H588" s="120">
        <v>129.6</v>
      </c>
      <c r="I588" s="120">
        <v>68</v>
      </c>
      <c r="L588" s="22">
        <v>2010</v>
      </c>
      <c r="M588" s="22">
        <v>213</v>
      </c>
    </row>
    <row r="589" spans="2:13" s="22" customFormat="1" x14ac:dyDescent="0.3">
      <c r="B589" s="42">
        <f t="shared" si="9"/>
        <v>40392</v>
      </c>
      <c r="D589" s="106">
        <v>26.798400000000001</v>
      </c>
      <c r="E589" s="106">
        <v>31.5</v>
      </c>
      <c r="F589" s="106">
        <v>21</v>
      </c>
      <c r="G589" s="106">
        <v>3</v>
      </c>
      <c r="H589" s="120">
        <v>69.12</v>
      </c>
      <c r="I589" s="120">
        <v>67</v>
      </c>
      <c r="L589" s="22">
        <v>2010</v>
      </c>
      <c r="M589" s="22">
        <v>214</v>
      </c>
    </row>
    <row r="590" spans="2:13" s="22" customFormat="1" x14ac:dyDescent="0.3">
      <c r="B590" s="42">
        <f t="shared" si="9"/>
        <v>40393</v>
      </c>
      <c r="D590" s="106">
        <v>21.529599999999999</v>
      </c>
      <c r="E590" s="106">
        <v>33</v>
      </c>
      <c r="F590" s="106">
        <v>21.5</v>
      </c>
      <c r="G590" s="106">
        <v>5</v>
      </c>
      <c r="H590" s="120">
        <v>60.48</v>
      </c>
      <c r="I590" s="120">
        <v>65</v>
      </c>
      <c r="L590" s="22">
        <v>2010</v>
      </c>
      <c r="M590" s="22">
        <v>215</v>
      </c>
    </row>
    <row r="591" spans="2:13" s="22" customFormat="1" x14ac:dyDescent="0.3">
      <c r="B591" s="42">
        <f t="shared" si="9"/>
        <v>40394</v>
      </c>
      <c r="D591" s="106">
        <v>21.540099999999999</v>
      </c>
      <c r="E591" s="106">
        <v>33.5</v>
      </c>
      <c r="F591" s="106">
        <v>21</v>
      </c>
      <c r="G591" s="106">
        <v>35</v>
      </c>
      <c r="H591" s="120">
        <v>172.8</v>
      </c>
      <c r="I591" s="120">
        <v>77</v>
      </c>
      <c r="L591" s="22">
        <v>2010</v>
      </c>
      <c r="M591" s="22">
        <v>216</v>
      </c>
    </row>
    <row r="592" spans="2:13" s="22" customFormat="1" x14ac:dyDescent="0.3">
      <c r="B592" s="42">
        <f t="shared" si="9"/>
        <v>40395</v>
      </c>
      <c r="D592" s="106">
        <v>23.8184</v>
      </c>
      <c r="E592" s="106">
        <v>30</v>
      </c>
      <c r="F592" s="106">
        <v>19.25</v>
      </c>
      <c r="G592" s="106">
        <v>0</v>
      </c>
      <c r="H592" s="120">
        <v>207.36</v>
      </c>
      <c r="I592" s="120">
        <v>72</v>
      </c>
      <c r="L592" s="22">
        <v>2010</v>
      </c>
      <c r="M592" s="22">
        <v>217</v>
      </c>
    </row>
    <row r="593" spans="2:13" s="22" customFormat="1" x14ac:dyDescent="0.3">
      <c r="B593" s="42">
        <f t="shared" si="9"/>
        <v>40396</v>
      </c>
      <c r="D593" s="106">
        <v>18.533799999999999</v>
      </c>
      <c r="E593" s="106">
        <v>31.5</v>
      </c>
      <c r="F593" s="106">
        <v>19.25</v>
      </c>
      <c r="G593" s="106">
        <v>26</v>
      </c>
      <c r="H593" s="120">
        <v>120.96</v>
      </c>
      <c r="I593" s="120">
        <v>74</v>
      </c>
      <c r="L593" s="22">
        <v>2010</v>
      </c>
      <c r="M593" s="22">
        <v>218</v>
      </c>
    </row>
    <row r="594" spans="2:13" s="22" customFormat="1" x14ac:dyDescent="0.3">
      <c r="B594" s="42">
        <f t="shared" si="9"/>
        <v>40397</v>
      </c>
      <c r="D594" s="106">
        <v>23.690100000000001</v>
      </c>
      <c r="E594" s="106">
        <v>31.75</v>
      </c>
      <c r="F594" s="106">
        <v>20.5</v>
      </c>
      <c r="G594" s="106">
        <v>11</v>
      </c>
      <c r="H594" s="120">
        <v>86.4</v>
      </c>
      <c r="I594" s="120">
        <v>76</v>
      </c>
      <c r="L594" s="22">
        <v>2010</v>
      </c>
      <c r="M594" s="22">
        <v>219</v>
      </c>
    </row>
    <row r="595" spans="2:13" s="22" customFormat="1" x14ac:dyDescent="0.3">
      <c r="B595" s="42">
        <f t="shared" si="9"/>
        <v>40398</v>
      </c>
      <c r="D595" s="106">
        <v>20.8215</v>
      </c>
      <c r="E595" s="106">
        <v>30.8</v>
      </c>
      <c r="F595" s="106">
        <v>19.5</v>
      </c>
      <c r="G595" s="106">
        <v>1.5</v>
      </c>
      <c r="H595" s="120">
        <v>95.04</v>
      </c>
      <c r="I595" s="120">
        <v>69</v>
      </c>
      <c r="L595" s="22">
        <v>2010</v>
      </c>
      <c r="M595" s="22">
        <v>220</v>
      </c>
    </row>
    <row r="596" spans="2:13" s="22" customFormat="1" x14ac:dyDescent="0.3">
      <c r="B596" s="42">
        <f t="shared" si="9"/>
        <v>40399</v>
      </c>
      <c r="D596" s="106">
        <v>9.4548500000000004</v>
      </c>
      <c r="E596" s="106">
        <v>29.5</v>
      </c>
      <c r="F596" s="106">
        <v>21.25</v>
      </c>
      <c r="G596" s="106">
        <v>0</v>
      </c>
      <c r="H596" s="120">
        <v>138.24</v>
      </c>
      <c r="I596" s="120">
        <v>82</v>
      </c>
      <c r="L596" s="22">
        <v>2010</v>
      </c>
      <c r="M596" s="22">
        <v>221</v>
      </c>
    </row>
    <row r="597" spans="2:13" s="22" customFormat="1" x14ac:dyDescent="0.3">
      <c r="B597" s="42">
        <f t="shared" si="9"/>
        <v>40400</v>
      </c>
      <c r="D597" s="106">
        <v>17.043399999999998</v>
      </c>
      <c r="E597" s="106">
        <v>30.25</v>
      </c>
      <c r="F597" s="106">
        <v>21.5</v>
      </c>
      <c r="G597" s="106">
        <v>0</v>
      </c>
      <c r="H597" s="120">
        <v>164.16</v>
      </c>
      <c r="I597" s="120">
        <v>77</v>
      </c>
      <c r="L597" s="22">
        <v>2010</v>
      </c>
      <c r="M597" s="22">
        <v>222</v>
      </c>
    </row>
    <row r="598" spans="2:13" s="22" customFormat="1" x14ac:dyDescent="0.3">
      <c r="B598" s="42">
        <f t="shared" si="9"/>
        <v>40401</v>
      </c>
      <c r="D598" s="106">
        <v>11.2765</v>
      </c>
      <c r="E598" s="106">
        <v>29.25</v>
      </c>
      <c r="F598" s="106">
        <v>19.75</v>
      </c>
      <c r="G598" s="106">
        <v>7</v>
      </c>
      <c r="H598" s="120">
        <v>146.88</v>
      </c>
      <c r="I598" s="120">
        <v>81</v>
      </c>
      <c r="L598" s="22">
        <v>2010</v>
      </c>
      <c r="M598" s="22">
        <v>223</v>
      </c>
    </row>
    <row r="599" spans="2:13" s="22" customFormat="1" x14ac:dyDescent="0.3">
      <c r="B599" s="42">
        <f t="shared" si="9"/>
        <v>40402</v>
      </c>
      <c r="D599" s="106">
        <v>17.052700000000002</v>
      </c>
      <c r="E599" s="106">
        <v>28.5</v>
      </c>
      <c r="F599" s="106">
        <v>20.5</v>
      </c>
      <c r="G599" s="106">
        <v>0</v>
      </c>
      <c r="H599" s="120">
        <v>86.4</v>
      </c>
      <c r="I599" s="120">
        <v>62</v>
      </c>
      <c r="L599" s="22">
        <v>2010</v>
      </c>
      <c r="M599" s="22">
        <v>224</v>
      </c>
    </row>
    <row r="600" spans="2:13" s="22" customFormat="1" x14ac:dyDescent="0.3">
      <c r="B600" s="42">
        <f t="shared" si="9"/>
        <v>40403</v>
      </c>
      <c r="D600" s="106">
        <v>24.053100000000001</v>
      </c>
      <c r="E600" s="106">
        <v>30</v>
      </c>
      <c r="F600" s="106">
        <v>21</v>
      </c>
      <c r="G600" s="106">
        <v>0</v>
      </c>
      <c r="H600" s="120">
        <v>190.08</v>
      </c>
      <c r="I600" s="120">
        <v>73</v>
      </c>
      <c r="L600" s="22">
        <v>2010</v>
      </c>
      <c r="M600" s="22">
        <v>225</v>
      </c>
    </row>
    <row r="601" spans="2:13" s="22" customFormat="1" x14ac:dyDescent="0.3">
      <c r="B601" s="42">
        <f t="shared" si="9"/>
        <v>40404</v>
      </c>
      <c r="D601" s="106">
        <v>11.733499999999999</v>
      </c>
      <c r="E601" s="106">
        <v>30.25</v>
      </c>
      <c r="F601" s="106">
        <v>21</v>
      </c>
      <c r="G601" s="106">
        <v>93</v>
      </c>
      <c r="H601" s="120">
        <v>103.68</v>
      </c>
      <c r="I601" s="120">
        <v>76</v>
      </c>
      <c r="L601" s="22">
        <v>2010</v>
      </c>
      <c r="M601" s="22">
        <v>226</v>
      </c>
    </row>
    <row r="602" spans="2:13" s="22" customFormat="1" x14ac:dyDescent="0.3">
      <c r="B602" s="42">
        <f t="shared" si="9"/>
        <v>40405</v>
      </c>
      <c r="D602" s="106">
        <v>19.8048</v>
      </c>
      <c r="E602" s="106">
        <v>28.75</v>
      </c>
      <c r="F602" s="106">
        <v>19</v>
      </c>
      <c r="G602" s="106">
        <v>0</v>
      </c>
      <c r="H602" s="120">
        <v>25.92</v>
      </c>
      <c r="I602" s="120">
        <v>73</v>
      </c>
      <c r="L602" s="22">
        <v>2010</v>
      </c>
      <c r="M602" s="22">
        <v>227</v>
      </c>
    </row>
    <row r="603" spans="2:13" s="22" customFormat="1" x14ac:dyDescent="0.3">
      <c r="B603" s="42">
        <f t="shared" si="9"/>
        <v>40406</v>
      </c>
      <c r="D603" s="106">
        <v>26.514199999999999</v>
      </c>
      <c r="E603" s="106">
        <v>30</v>
      </c>
      <c r="F603" s="106">
        <v>18.600000000000001</v>
      </c>
      <c r="G603" s="106">
        <v>0</v>
      </c>
      <c r="H603" s="120">
        <v>69.12</v>
      </c>
      <c r="I603" s="120">
        <v>70</v>
      </c>
      <c r="L603" s="22">
        <v>2010</v>
      </c>
      <c r="M603" s="22">
        <v>228</v>
      </c>
    </row>
    <row r="604" spans="2:13" s="22" customFormat="1" x14ac:dyDescent="0.3">
      <c r="B604" s="42">
        <f t="shared" si="9"/>
        <v>40407</v>
      </c>
      <c r="D604" s="106">
        <v>18.745699999999999</v>
      </c>
      <c r="E604" s="106">
        <v>32.5</v>
      </c>
      <c r="F604" s="106">
        <v>21</v>
      </c>
      <c r="G604" s="106">
        <v>38</v>
      </c>
      <c r="H604" s="120">
        <v>77.760000000000005</v>
      </c>
      <c r="I604" s="120">
        <v>75</v>
      </c>
      <c r="L604" s="22">
        <v>2010</v>
      </c>
      <c r="M604" s="22">
        <v>229</v>
      </c>
    </row>
    <row r="605" spans="2:13" s="22" customFormat="1" x14ac:dyDescent="0.3">
      <c r="B605" s="42">
        <f t="shared" si="9"/>
        <v>40408</v>
      </c>
      <c r="D605" s="106">
        <v>21.646999999999998</v>
      </c>
      <c r="E605" s="106">
        <v>32</v>
      </c>
      <c r="F605" s="106">
        <v>17.5</v>
      </c>
      <c r="G605" s="106">
        <v>0</v>
      </c>
      <c r="H605" s="120">
        <v>181.44</v>
      </c>
      <c r="I605" s="120">
        <v>64</v>
      </c>
      <c r="L605" s="22">
        <v>2010</v>
      </c>
      <c r="M605" s="22">
        <v>230</v>
      </c>
    </row>
    <row r="606" spans="2:13" s="22" customFormat="1" x14ac:dyDescent="0.3">
      <c r="B606" s="42">
        <f t="shared" si="9"/>
        <v>40409</v>
      </c>
      <c r="D606" s="106">
        <v>25.008800000000001</v>
      </c>
      <c r="E606" s="106">
        <v>32.25</v>
      </c>
      <c r="F606" s="106">
        <v>20</v>
      </c>
      <c r="G606" s="106">
        <v>0</v>
      </c>
      <c r="H606" s="120">
        <v>181.44</v>
      </c>
      <c r="I606" s="120">
        <v>66</v>
      </c>
      <c r="L606" s="22">
        <v>2010</v>
      </c>
      <c r="M606" s="22">
        <v>231</v>
      </c>
    </row>
    <row r="607" spans="2:13" s="22" customFormat="1" x14ac:dyDescent="0.3">
      <c r="B607" s="42">
        <f t="shared" si="9"/>
        <v>40410</v>
      </c>
      <c r="D607" s="106">
        <v>25.777000000000001</v>
      </c>
      <c r="E607" s="106">
        <v>32.25</v>
      </c>
      <c r="F607" s="106">
        <v>20.5</v>
      </c>
      <c r="G607" s="106">
        <v>0</v>
      </c>
      <c r="H607" s="120">
        <v>155.52000000000001</v>
      </c>
      <c r="I607" s="120">
        <v>73</v>
      </c>
      <c r="L607" s="22">
        <v>2010</v>
      </c>
      <c r="M607" s="22">
        <v>232</v>
      </c>
    </row>
    <row r="608" spans="2:13" s="22" customFormat="1" x14ac:dyDescent="0.3">
      <c r="B608" s="42">
        <f t="shared" si="9"/>
        <v>40411</v>
      </c>
      <c r="D608" s="106">
        <v>11.7241</v>
      </c>
      <c r="E608" s="106">
        <v>31.5</v>
      </c>
      <c r="F608" s="106">
        <v>19</v>
      </c>
      <c r="G608" s="106">
        <v>20.5</v>
      </c>
      <c r="H608" s="120">
        <v>146.88</v>
      </c>
      <c r="I608" s="120">
        <v>75</v>
      </c>
      <c r="L608" s="22">
        <v>2010</v>
      </c>
      <c r="M608" s="22">
        <v>233</v>
      </c>
    </row>
    <row r="609" spans="2:13" s="22" customFormat="1" x14ac:dyDescent="0.3">
      <c r="B609" s="42">
        <f t="shared" si="9"/>
        <v>40412</v>
      </c>
      <c r="D609" s="106">
        <v>18.599900000000002</v>
      </c>
      <c r="E609" s="106">
        <v>30.95</v>
      </c>
      <c r="F609" s="106">
        <v>19.5</v>
      </c>
      <c r="G609" s="106">
        <v>0</v>
      </c>
      <c r="H609" s="120">
        <v>155.52000000000001</v>
      </c>
      <c r="I609" s="120">
        <v>76</v>
      </c>
      <c r="L609" s="22">
        <v>2010</v>
      </c>
      <c r="M609" s="22">
        <v>234</v>
      </c>
    </row>
    <row r="610" spans="2:13" s="22" customFormat="1" x14ac:dyDescent="0.3">
      <c r="B610" s="42">
        <f t="shared" si="9"/>
        <v>40413</v>
      </c>
      <c r="D610" s="106">
        <v>23.951799999999999</v>
      </c>
      <c r="E610" s="106">
        <v>30.25</v>
      </c>
      <c r="F610" s="106">
        <v>21</v>
      </c>
      <c r="G610" s="106">
        <v>0</v>
      </c>
      <c r="H610" s="120">
        <v>181.44</v>
      </c>
      <c r="I610" s="120">
        <v>76</v>
      </c>
      <c r="L610" s="22">
        <v>2010</v>
      </c>
      <c r="M610" s="22">
        <v>235</v>
      </c>
    </row>
    <row r="611" spans="2:13" s="22" customFormat="1" x14ac:dyDescent="0.3">
      <c r="B611" s="42">
        <f t="shared" si="9"/>
        <v>40414</v>
      </c>
      <c r="D611" s="106">
        <v>17.221299999999999</v>
      </c>
      <c r="E611" s="106">
        <v>30.25</v>
      </c>
      <c r="F611" s="106">
        <v>20.75</v>
      </c>
      <c r="G611" s="106">
        <v>1</v>
      </c>
      <c r="H611" s="120">
        <v>164.16</v>
      </c>
      <c r="I611" s="120">
        <v>81</v>
      </c>
      <c r="L611" s="22">
        <v>2010</v>
      </c>
      <c r="M611" s="22">
        <v>236</v>
      </c>
    </row>
    <row r="612" spans="2:13" s="22" customFormat="1" x14ac:dyDescent="0.3">
      <c r="B612" s="42">
        <f t="shared" si="9"/>
        <v>40415</v>
      </c>
      <c r="D612" s="106">
        <v>23.799399999999999</v>
      </c>
      <c r="E612" s="106">
        <v>30.25</v>
      </c>
      <c r="F612" s="106">
        <v>20</v>
      </c>
      <c r="G612" s="106">
        <v>0</v>
      </c>
      <c r="H612" s="120">
        <v>112.32</v>
      </c>
      <c r="I612" s="120">
        <v>63</v>
      </c>
      <c r="L612" s="22">
        <v>2010</v>
      </c>
      <c r="M612" s="22">
        <v>237</v>
      </c>
    </row>
    <row r="613" spans="2:13" s="22" customFormat="1" x14ac:dyDescent="0.3">
      <c r="B613" s="42">
        <f t="shared" si="9"/>
        <v>40416</v>
      </c>
      <c r="D613" s="106">
        <v>21.0428</v>
      </c>
      <c r="E613" s="106">
        <v>32.25</v>
      </c>
      <c r="F613" s="106">
        <v>21</v>
      </c>
      <c r="G613" s="106">
        <v>24</v>
      </c>
      <c r="H613" s="120">
        <v>129.6</v>
      </c>
      <c r="I613" s="120">
        <v>68</v>
      </c>
      <c r="L613" s="22">
        <v>2010</v>
      </c>
      <c r="M613" s="22">
        <v>238</v>
      </c>
    </row>
    <row r="614" spans="2:13" s="22" customFormat="1" x14ac:dyDescent="0.3">
      <c r="B614" s="42">
        <f t="shared" si="9"/>
        <v>40417</v>
      </c>
      <c r="D614" s="106">
        <v>15.5276</v>
      </c>
      <c r="E614" s="106">
        <v>31.5</v>
      </c>
      <c r="F614" s="106">
        <v>18.75</v>
      </c>
      <c r="G614" s="106">
        <v>0</v>
      </c>
      <c r="H614" s="120">
        <v>207.36</v>
      </c>
      <c r="I614" s="120">
        <v>71</v>
      </c>
      <c r="L614" s="22">
        <v>2010</v>
      </c>
      <c r="M614" s="22">
        <v>239</v>
      </c>
    </row>
    <row r="615" spans="2:13" s="22" customFormat="1" x14ac:dyDescent="0.3">
      <c r="B615" s="42">
        <f t="shared" si="9"/>
        <v>40418</v>
      </c>
      <c r="D615" s="106">
        <v>23.180800000000001</v>
      </c>
      <c r="E615" s="106">
        <v>30.75</v>
      </c>
      <c r="F615" s="106">
        <v>20.5</v>
      </c>
      <c r="G615" s="106">
        <v>21</v>
      </c>
      <c r="H615" s="120">
        <v>181.44</v>
      </c>
      <c r="I615" s="120">
        <v>71</v>
      </c>
      <c r="L615" s="22">
        <v>2010</v>
      </c>
      <c r="M615" s="22">
        <v>240</v>
      </c>
    </row>
    <row r="616" spans="2:13" s="22" customFormat="1" x14ac:dyDescent="0.3">
      <c r="B616" s="42">
        <f t="shared" si="9"/>
        <v>40419</v>
      </c>
      <c r="D616" s="106">
        <v>21.3384</v>
      </c>
      <c r="E616" s="106">
        <v>31.25</v>
      </c>
      <c r="F616" s="106">
        <v>19.25</v>
      </c>
      <c r="G616" s="106">
        <v>0</v>
      </c>
      <c r="H616" s="120">
        <v>138.24</v>
      </c>
      <c r="I616" s="120">
        <v>71</v>
      </c>
      <c r="L616" s="22">
        <v>2010</v>
      </c>
      <c r="M616" s="22">
        <v>241</v>
      </c>
    </row>
    <row r="617" spans="2:13" s="22" customFormat="1" x14ac:dyDescent="0.3">
      <c r="B617" s="42">
        <f t="shared" si="9"/>
        <v>40420</v>
      </c>
      <c r="D617" s="106">
        <v>25.623100000000001</v>
      </c>
      <c r="E617" s="106">
        <v>32</v>
      </c>
      <c r="F617" s="106">
        <v>20.5</v>
      </c>
      <c r="G617" s="106">
        <v>0</v>
      </c>
      <c r="H617" s="120">
        <v>146.88</v>
      </c>
      <c r="I617" s="120">
        <v>70</v>
      </c>
      <c r="L617" s="22">
        <v>2010</v>
      </c>
      <c r="M617" s="22">
        <v>242</v>
      </c>
    </row>
    <row r="618" spans="2:13" s="22" customFormat="1" x14ac:dyDescent="0.3">
      <c r="B618" s="42">
        <f t="shared" si="9"/>
        <v>40421</v>
      </c>
      <c r="D618" s="106">
        <v>17.189499999999999</v>
      </c>
      <c r="E618" s="106">
        <v>31.25</v>
      </c>
      <c r="F618" s="106">
        <v>19.75</v>
      </c>
      <c r="G618" s="106">
        <v>30</v>
      </c>
      <c r="H618" s="120">
        <v>138.24</v>
      </c>
      <c r="I618" s="120">
        <v>78</v>
      </c>
      <c r="L618" s="22">
        <v>2010</v>
      </c>
      <c r="M618" s="22">
        <v>243</v>
      </c>
    </row>
    <row r="619" spans="2:13" s="22" customFormat="1" x14ac:dyDescent="0.3">
      <c r="B619" s="42">
        <f t="shared" ref="B619:B682" si="10">DATE(L619-1,12,31)+M619</f>
        <v>40422</v>
      </c>
      <c r="D619" s="106">
        <v>14.8834</v>
      </c>
      <c r="E619" s="106">
        <v>31</v>
      </c>
      <c r="F619" s="106">
        <v>20</v>
      </c>
      <c r="G619" s="106">
        <v>15</v>
      </c>
      <c r="H619" s="120">
        <v>103.68</v>
      </c>
      <c r="I619" s="120">
        <v>69</v>
      </c>
      <c r="L619" s="22">
        <v>2010</v>
      </c>
      <c r="M619" s="22">
        <v>244</v>
      </c>
    </row>
    <row r="620" spans="2:13" s="22" customFormat="1" x14ac:dyDescent="0.3">
      <c r="B620" s="42">
        <f t="shared" si="10"/>
        <v>40423</v>
      </c>
      <c r="D620" s="106">
        <v>18.553000000000001</v>
      </c>
      <c r="E620" s="106">
        <v>30.5</v>
      </c>
      <c r="F620" s="106">
        <v>20</v>
      </c>
      <c r="G620" s="106">
        <v>4</v>
      </c>
      <c r="H620" s="120">
        <v>172.8</v>
      </c>
      <c r="I620" s="120">
        <v>81</v>
      </c>
      <c r="L620" s="22">
        <v>2010</v>
      </c>
      <c r="M620" s="22">
        <v>245</v>
      </c>
    </row>
    <row r="621" spans="2:13" s="22" customFormat="1" x14ac:dyDescent="0.3">
      <c r="B621" s="42">
        <f t="shared" si="10"/>
        <v>40424</v>
      </c>
      <c r="D621" s="106">
        <v>15.479100000000001</v>
      </c>
      <c r="E621" s="106">
        <v>29.75</v>
      </c>
      <c r="F621" s="106">
        <v>19.75</v>
      </c>
      <c r="G621" s="106">
        <v>27</v>
      </c>
      <c r="H621" s="120">
        <v>138.24</v>
      </c>
      <c r="I621" s="120">
        <v>84</v>
      </c>
      <c r="L621" s="22">
        <v>2010</v>
      </c>
      <c r="M621" s="22">
        <v>246</v>
      </c>
    </row>
    <row r="622" spans="2:13" s="22" customFormat="1" x14ac:dyDescent="0.3">
      <c r="B622" s="42">
        <f t="shared" si="10"/>
        <v>40425</v>
      </c>
      <c r="D622" s="106">
        <v>13.936999999999999</v>
      </c>
      <c r="E622" s="106">
        <v>28.5</v>
      </c>
      <c r="F622" s="106">
        <v>19</v>
      </c>
      <c r="G622" s="106">
        <v>0</v>
      </c>
      <c r="H622" s="120">
        <v>138.24</v>
      </c>
      <c r="I622" s="120">
        <v>77</v>
      </c>
      <c r="L622" s="22">
        <v>2010</v>
      </c>
      <c r="M622" s="22">
        <v>247</v>
      </c>
    </row>
    <row r="623" spans="2:13" s="22" customFormat="1" x14ac:dyDescent="0.3">
      <c r="B623" s="42">
        <f t="shared" si="10"/>
        <v>40426</v>
      </c>
      <c r="D623" s="106">
        <v>18.982900000000001</v>
      </c>
      <c r="E623" s="106">
        <v>29.75</v>
      </c>
      <c r="F623" s="106">
        <v>21.25</v>
      </c>
      <c r="G623" s="106">
        <v>0</v>
      </c>
      <c r="H623" s="120">
        <v>95.04</v>
      </c>
      <c r="I623" s="120">
        <v>73</v>
      </c>
      <c r="L623" s="22">
        <v>2010</v>
      </c>
      <c r="M623" s="22">
        <v>248</v>
      </c>
    </row>
    <row r="624" spans="2:13" s="22" customFormat="1" x14ac:dyDescent="0.3">
      <c r="B624" s="42">
        <f t="shared" si="10"/>
        <v>40427</v>
      </c>
      <c r="D624" s="106">
        <v>9.31982</v>
      </c>
      <c r="E624" s="106">
        <v>33.5</v>
      </c>
      <c r="F624" s="106">
        <v>19</v>
      </c>
      <c r="G624" s="106">
        <v>64</v>
      </c>
      <c r="H624" s="120">
        <v>146.88</v>
      </c>
      <c r="I624" s="120">
        <v>74</v>
      </c>
      <c r="L624" s="22">
        <v>2010</v>
      </c>
      <c r="M624" s="22">
        <v>249</v>
      </c>
    </row>
    <row r="625" spans="2:13" s="22" customFormat="1" x14ac:dyDescent="0.3">
      <c r="B625" s="42">
        <f t="shared" si="10"/>
        <v>40428</v>
      </c>
      <c r="D625" s="106">
        <v>15.742100000000001</v>
      </c>
      <c r="E625" s="106">
        <v>26.75</v>
      </c>
      <c r="F625" s="106">
        <v>19.5</v>
      </c>
      <c r="G625" s="106">
        <v>0</v>
      </c>
      <c r="H625" s="120">
        <v>181.44</v>
      </c>
      <c r="I625" s="120">
        <v>70</v>
      </c>
      <c r="L625" s="22">
        <v>2010</v>
      </c>
      <c r="M625" s="22">
        <v>250</v>
      </c>
    </row>
    <row r="626" spans="2:13" s="22" customFormat="1" x14ac:dyDescent="0.3">
      <c r="B626" s="42">
        <f t="shared" si="10"/>
        <v>40429</v>
      </c>
      <c r="D626" s="106">
        <v>21.088799999999999</v>
      </c>
      <c r="E626" s="106">
        <v>30.7</v>
      </c>
      <c r="F626" s="106">
        <v>20.5</v>
      </c>
      <c r="G626" s="106">
        <v>9</v>
      </c>
      <c r="H626" s="120">
        <v>120.96</v>
      </c>
      <c r="I626" s="120">
        <v>78</v>
      </c>
      <c r="L626" s="22">
        <v>2010</v>
      </c>
      <c r="M626" s="22">
        <v>251</v>
      </c>
    </row>
    <row r="627" spans="2:13" s="22" customFormat="1" x14ac:dyDescent="0.3">
      <c r="B627" s="42">
        <f t="shared" si="10"/>
        <v>40430</v>
      </c>
      <c r="D627" s="106">
        <v>14.0318</v>
      </c>
      <c r="E627" s="106">
        <v>30</v>
      </c>
      <c r="F627" s="106">
        <v>20.5</v>
      </c>
      <c r="G627" s="106">
        <v>9</v>
      </c>
      <c r="H627" s="120">
        <v>43.2</v>
      </c>
      <c r="I627" s="120">
        <v>67</v>
      </c>
      <c r="L627" s="22">
        <v>2010</v>
      </c>
      <c r="M627" s="22">
        <v>252</v>
      </c>
    </row>
    <row r="628" spans="2:13" s="22" customFormat="1" x14ac:dyDescent="0.3">
      <c r="B628" s="42">
        <f t="shared" si="10"/>
        <v>40431</v>
      </c>
      <c r="D628" s="106">
        <v>23.506</v>
      </c>
      <c r="E628" s="106">
        <v>30</v>
      </c>
      <c r="F628" s="106">
        <v>20</v>
      </c>
      <c r="G628" s="106">
        <v>0</v>
      </c>
      <c r="H628" s="120">
        <v>146.88</v>
      </c>
      <c r="I628" s="120">
        <v>67</v>
      </c>
      <c r="L628" s="22">
        <v>2010</v>
      </c>
      <c r="M628" s="22">
        <v>253</v>
      </c>
    </row>
    <row r="629" spans="2:13" s="22" customFormat="1" x14ac:dyDescent="0.3">
      <c r="B629" s="42">
        <f t="shared" si="10"/>
        <v>40432</v>
      </c>
      <c r="D629" s="106">
        <v>24.558700000000002</v>
      </c>
      <c r="E629" s="106">
        <v>31</v>
      </c>
      <c r="F629" s="106">
        <v>20.5</v>
      </c>
      <c r="G629" s="106">
        <v>0</v>
      </c>
      <c r="H629" s="120">
        <v>138.24</v>
      </c>
      <c r="I629" s="120">
        <v>73</v>
      </c>
      <c r="L629" s="22">
        <v>2010</v>
      </c>
      <c r="M629" s="22">
        <v>254</v>
      </c>
    </row>
    <row r="630" spans="2:13" s="22" customFormat="1" x14ac:dyDescent="0.3">
      <c r="B630" s="42">
        <f t="shared" si="10"/>
        <v>40433</v>
      </c>
      <c r="D630" s="106">
        <v>23.009899999999998</v>
      </c>
      <c r="E630" s="106">
        <v>31.75</v>
      </c>
      <c r="F630" s="106">
        <v>21.25</v>
      </c>
      <c r="G630" s="106">
        <v>19</v>
      </c>
      <c r="H630" s="120">
        <v>120.96</v>
      </c>
      <c r="I630" s="120">
        <v>68</v>
      </c>
      <c r="L630" s="22">
        <v>2010</v>
      </c>
      <c r="M630" s="22">
        <v>255</v>
      </c>
    </row>
    <row r="631" spans="2:13" s="22" customFormat="1" x14ac:dyDescent="0.3">
      <c r="B631" s="42">
        <f t="shared" si="10"/>
        <v>40434</v>
      </c>
      <c r="D631" s="106">
        <v>17.334900000000001</v>
      </c>
      <c r="E631" s="106">
        <v>31</v>
      </c>
      <c r="F631" s="106">
        <v>19.25</v>
      </c>
      <c r="G631" s="106">
        <v>0</v>
      </c>
      <c r="H631" s="120">
        <v>43.2</v>
      </c>
      <c r="I631" s="120">
        <v>64</v>
      </c>
      <c r="L631" s="22">
        <v>2010</v>
      </c>
      <c r="M631" s="22">
        <v>256</v>
      </c>
    </row>
    <row r="632" spans="2:13" s="22" customFormat="1" x14ac:dyDescent="0.3">
      <c r="B632" s="42">
        <f t="shared" si="10"/>
        <v>40435</v>
      </c>
      <c r="D632" s="106">
        <v>17.927600000000002</v>
      </c>
      <c r="E632" s="106">
        <v>29.5</v>
      </c>
      <c r="F632" s="106">
        <v>21.5</v>
      </c>
      <c r="G632" s="106">
        <v>14</v>
      </c>
      <c r="H632" s="120">
        <v>69.12</v>
      </c>
      <c r="I632" s="120">
        <v>74</v>
      </c>
      <c r="L632" s="22">
        <v>2010</v>
      </c>
      <c r="M632" s="22">
        <v>257</v>
      </c>
    </row>
    <row r="633" spans="2:13" s="22" customFormat="1" x14ac:dyDescent="0.3">
      <c r="B633" s="42">
        <f t="shared" si="10"/>
        <v>40436</v>
      </c>
      <c r="D633" s="106">
        <v>24.7775</v>
      </c>
      <c r="E633" s="106">
        <v>29.5</v>
      </c>
      <c r="F633" s="106">
        <v>20.5</v>
      </c>
      <c r="G633" s="106">
        <v>65</v>
      </c>
      <c r="H633" s="120">
        <v>155.52000000000001</v>
      </c>
      <c r="I633" s="120">
        <v>73</v>
      </c>
      <c r="L633" s="22">
        <v>2010</v>
      </c>
      <c r="M633" s="22">
        <v>258</v>
      </c>
    </row>
    <row r="634" spans="2:13" s="22" customFormat="1" x14ac:dyDescent="0.3">
      <c r="B634" s="42">
        <f t="shared" si="10"/>
        <v>40437</v>
      </c>
      <c r="D634" s="106">
        <v>17.5824</v>
      </c>
      <c r="E634" s="106">
        <v>34.5</v>
      </c>
      <c r="F634" s="106">
        <v>18.5</v>
      </c>
      <c r="G634" s="106">
        <v>0</v>
      </c>
      <c r="H634" s="120">
        <v>77.760000000000005</v>
      </c>
      <c r="I634" s="120">
        <v>68</v>
      </c>
      <c r="L634" s="22">
        <v>2010</v>
      </c>
      <c r="M634" s="22">
        <v>259</v>
      </c>
    </row>
    <row r="635" spans="2:13" s="22" customFormat="1" x14ac:dyDescent="0.3">
      <c r="B635" s="42">
        <f t="shared" si="10"/>
        <v>40438</v>
      </c>
      <c r="D635" s="106">
        <v>9.32883</v>
      </c>
      <c r="E635" s="106">
        <v>30.75</v>
      </c>
      <c r="F635" s="106">
        <v>21.5</v>
      </c>
      <c r="G635" s="106">
        <v>5.5</v>
      </c>
      <c r="H635" s="120">
        <v>120.96</v>
      </c>
      <c r="I635" s="120">
        <v>75</v>
      </c>
      <c r="L635" s="22">
        <v>2010</v>
      </c>
      <c r="M635" s="22">
        <v>260</v>
      </c>
    </row>
    <row r="636" spans="2:13" s="22" customFormat="1" x14ac:dyDescent="0.3">
      <c r="B636" s="42">
        <f t="shared" si="10"/>
        <v>40439</v>
      </c>
      <c r="D636" s="106">
        <v>15.406499999999999</v>
      </c>
      <c r="E636" s="106">
        <v>28.5</v>
      </c>
      <c r="F636" s="106">
        <v>19.2</v>
      </c>
      <c r="G636" s="106">
        <v>0</v>
      </c>
      <c r="H636" s="120">
        <v>95.04</v>
      </c>
      <c r="I636" s="120">
        <v>79</v>
      </c>
      <c r="L636" s="22">
        <v>2010</v>
      </c>
      <c r="M636" s="22">
        <v>261</v>
      </c>
    </row>
    <row r="637" spans="2:13" s="22" customFormat="1" x14ac:dyDescent="0.3">
      <c r="B637" s="42">
        <f t="shared" si="10"/>
        <v>40440</v>
      </c>
      <c r="D637" s="106">
        <v>21.3218</v>
      </c>
      <c r="E637" s="106">
        <v>31</v>
      </c>
      <c r="F637" s="106">
        <v>20.5</v>
      </c>
      <c r="G637" s="106">
        <v>4</v>
      </c>
      <c r="H637" s="120">
        <v>138.24</v>
      </c>
      <c r="I637" s="120">
        <v>76</v>
      </c>
      <c r="L637" s="22">
        <v>2010</v>
      </c>
      <c r="M637" s="22">
        <v>262</v>
      </c>
    </row>
    <row r="638" spans="2:13" s="22" customFormat="1" x14ac:dyDescent="0.3">
      <c r="B638" s="42">
        <f t="shared" si="10"/>
        <v>40441</v>
      </c>
      <c r="D638" s="106">
        <v>20.9907</v>
      </c>
      <c r="E638" s="106">
        <v>31.5</v>
      </c>
      <c r="F638" s="106">
        <v>19.5</v>
      </c>
      <c r="G638" s="106">
        <v>6.5</v>
      </c>
      <c r="H638" s="120">
        <v>103.68</v>
      </c>
      <c r="I638" s="120">
        <v>67</v>
      </c>
      <c r="L638" s="22">
        <v>2010</v>
      </c>
      <c r="M638" s="22">
        <v>263</v>
      </c>
    </row>
    <row r="639" spans="2:13" s="22" customFormat="1" x14ac:dyDescent="0.3">
      <c r="B639" s="42">
        <f t="shared" si="10"/>
        <v>40442</v>
      </c>
      <c r="D639" s="106">
        <v>23.85</v>
      </c>
      <c r="E639" s="106">
        <v>31.5</v>
      </c>
      <c r="F639" s="106">
        <v>19.5</v>
      </c>
      <c r="G639" s="106">
        <v>0</v>
      </c>
      <c r="H639" s="120">
        <v>103.68</v>
      </c>
      <c r="I639" s="120">
        <v>67</v>
      </c>
      <c r="L639" s="22">
        <v>2010</v>
      </c>
      <c r="M639" s="22">
        <v>264</v>
      </c>
    </row>
    <row r="640" spans="2:13" s="22" customFormat="1" x14ac:dyDescent="0.3">
      <c r="B640" s="42">
        <f t="shared" si="10"/>
        <v>40443</v>
      </c>
      <c r="D640" s="106">
        <v>24.122199999999999</v>
      </c>
      <c r="E640" s="106">
        <v>32</v>
      </c>
      <c r="F640" s="106">
        <v>19.5</v>
      </c>
      <c r="G640" s="106">
        <v>17</v>
      </c>
      <c r="H640" s="120">
        <v>95.04</v>
      </c>
      <c r="I640" s="120">
        <v>67</v>
      </c>
      <c r="L640" s="22">
        <v>2010</v>
      </c>
      <c r="M640" s="22">
        <v>265</v>
      </c>
    </row>
    <row r="641" spans="2:13" s="22" customFormat="1" x14ac:dyDescent="0.3">
      <c r="B641" s="42">
        <f t="shared" si="10"/>
        <v>40444</v>
      </c>
      <c r="D641" s="106">
        <v>23.179300000000001</v>
      </c>
      <c r="E641" s="106">
        <v>32.5</v>
      </c>
      <c r="F641" s="106">
        <v>20</v>
      </c>
      <c r="G641" s="106">
        <v>0</v>
      </c>
      <c r="H641" s="120">
        <v>129.6</v>
      </c>
      <c r="I641" s="120">
        <v>77</v>
      </c>
      <c r="L641" s="22">
        <v>2010</v>
      </c>
      <c r="M641" s="22">
        <v>266</v>
      </c>
    </row>
    <row r="642" spans="2:13" s="22" customFormat="1" x14ac:dyDescent="0.3">
      <c r="B642" s="42">
        <f t="shared" si="10"/>
        <v>40445</v>
      </c>
      <c r="D642" s="106">
        <v>24.055099999999999</v>
      </c>
      <c r="E642" s="106">
        <v>32.5</v>
      </c>
      <c r="F642" s="106">
        <v>20.5</v>
      </c>
      <c r="G642" s="106">
        <v>4</v>
      </c>
      <c r="H642" s="120">
        <v>146.88</v>
      </c>
      <c r="I642" s="120">
        <v>75</v>
      </c>
      <c r="L642" s="22">
        <v>2010</v>
      </c>
      <c r="M642" s="22">
        <v>267</v>
      </c>
    </row>
    <row r="643" spans="2:13" s="22" customFormat="1" x14ac:dyDescent="0.3">
      <c r="B643" s="42">
        <f t="shared" si="10"/>
        <v>40446</v>
      </c>
      <c r="D643" s="106">
        <v>23.263200000000001</v>
      </c>
      <c r="E643" s="106">
        <v>33.25</v>
      </c>
      <c r="F643" s="106">
        <v>19.5</v>
      </c>
      <c r="G643" s="106">
        <v>0</v>
      </c>
      <c r="H643" s="120">
        <v>112.32</v>
      </c>
      <c r="I643" s="120">
        <v>69</v>
      </c>
      <c r="L643" s="22">
        <v>2010</v>
      </c>
      <c r="M643" s="22">
        <v>268</v>
      </c>
    </row>
    <row r="644" spans="2:13" s="22" customFormat="1" x14ac:dyDescent="0.3">
      <c r="B644" s="42">
        <f t="shared" si="10"/>
        <v>40447</v>
      </c>
      <c r="D644" s="106">
        <v>25.192699999999999</v>
      </c>
      <c r="E644" s="106">
        <v>33.5</v>
      </c>
      <c r="F644" s="106">
        <v>22</v>
      </c>
      <c r="G644" s="106">
        <v>0</v>
      </c>
      <c r="H644" s="120">
        <v>120.96</v>
      </c>
      <c r="I644" s="120">
        <v>74</v>
      </c>
      <c r="L644" s="22">
        <v>2010</v>
      </c>
      <c r="M644" s="22">
        <v>269</v>
      </c>
    </row>
    <row r="645" spans="2:13" s="22" customFormat="1" x14ac:dyDescent="0.3">
      <c r="B645" s="42">
        <f t="shared" si="10"/>
        <v>40448</v>
      </c>
      <c r="D645" s="106">
        <v>25.6067</v>
      </c>
      <c r="E645" s="106">
        <v>33.75</v>
      </c>
      <c r="F645" s="106">
        <v>21.5</v>
      </c>
      <c r="G645" s="106">
        <v>0</v>
      </c>
      <c r="H645" s="120">
        <v>69.12</v>
      </c>
      <c r="I645" s="120">
        <v>69</v>
      </c>
      <c r="L645" s="22">
        <v>2010</v>
      </c>
      <c r="M645" s="22">
        <v>270</v>
      </c>
    </row>
    <row r="646" spans="2:13" s="22" customFormat="1" x14ac:dyDescent="0.3">
      <c r="B646" s="42">
        <f t="shared" si="10"/>
        <v>40449</v>
      </c>
      <c r="D646" s="106">
        <v>13.502599999999999</v>
      </c>
      <c r="E646" s="106">
        <v>32</v>
      </c>
      <c r="F646" s="106">
        <v>19.5</v>
      </c>
      <c r="G646" s="106">
        <v>2.5</v>
      </c>
      <c r="H646" s="120">
        <v>103.68</v>
      </c>
      <c r="I646" s="120">
        <v>73</v>
      </c>
      <c r="L646" s="22">
        <v>2010</v>
      </c>
      <c r="M646" s="22">
        <v>271</v>
      </c>
    </row>
    <row r="647" spans="2:13" s="22" customFormat="1" x14ac:dyDescent="0.3">
      <c r="B647" s="42">
        <f t="shared" si="10"/>
        <v>40450</v>
      </c>
      <c r="D647" s="106">
        <v>14.9823</v>
      </c>
      <c r="E647" s="106">
        <v>30.25</v>
      </c>
      <c r="F647" s="106">
        <v>19.25</v>
      </c>
      <c r="G647" s="106">
        <v>1.5</v>
      </c>
      <c r="H647" s="120">
        <v>120.96</v>
      </c>
      <c r="I647" s="120">
        <v>68</v>
      </c>
      <c r="L647" s="22">
        <v>2010</v>
      </c>
      <c r="M647" s="22">
        <v>272</v>
      </c>
    </row>
    <row r="648" spans="2:13" s="22" customFormat="1" x14ac:dyDescent="0.3">
      <c r="B648" s="42">
        <f t="shared" si="10"/>
        <v>40451</v>
      </c>
      <c r="D648" s="106">
        <v>24.729299999999999</v>
      </c>
      <c r="E648" s="106">
        <v>32</v>
      </c>
      <c r="F648" s="106">
        <v>19.5</v>
      </c>
      <c r="G648" s="106">
        <v>0</v>
      </c>
      <c r="H648" s="120">
        <v>112.32</v>
      </c>
      <c r="I648" s="120">
        <v>64</v>
      </c>
      <c r="L648" s="22">
        <v>2010</v>
      </c>
      <c r="M648" s="22">
        <v>273</v>
      </c>
    </row>
    <row r="649" spans="2:13" s="22" customFormat="1" x14ac:dyDescent="0.3">
      <c r="B649" s="42">
        <f t="shared" si="10"/>
        <v>40452</v>
      </c>
      <c r="D649" s="106">
        <v>23.1844</v>
      </c>
      <c r="E649" s="106">
        <v>34</v>
      </c>
      <c r="F649" s="106">
        <v>20.5</v>
      </c>
      <c r="G649" s="106">
        <v>0</v>
      </c>
      <c r="H649" s="120">
        <v>164.16</v>
      </c>
      <c r="I649" s="120">
        <v>70</v>
      </c>
      <c r="L649" s="22">
        <v>2010</v>
      </c>
      <c r="M649" s="22">
        <v>274</v>
      </c>
    </row>
    <row r="650" spans="2:13" s="22" customFormat="1" x14ac:dyDescent="0.3">
      <c r="B650" s="42">
        <f t="shared" si="10"/>
        <v>40453</v>
      </c>
      <c r="D650" s="106">
        <v>13.3941</v>
      </c>
      <c r="E650" s="106">
        <v>33.25</v>
      </c>
      <c r="F650" s="106">
        <v>18.75</v>
      </c>
      <c r="G650" s="106">
        <v>8</v>
      </c>
      <c r="H650" s="120">
        <v>155.52000000000001</v>
      </c>
      <c r="I650" s="120">
        <v>65</v>
      </c>
      <c r="L650" s="22">
        <v>2010</v>
      </c>
      <c r="M650" s="22">
        <v>275</v>
      </c>
    </row>
    <row r="651" spans="2:13" s="22" customFormat="1" x14ac:dyDescent="0.3">
      <c r="B651" s="42">
        <f t="shared" si="10"/>
        <v>40454</v>
      </c>
      <c r="D651" s="106">
        <v>24.7469</v>
      </c>
      <c r="E651" s="106">
        <v>30.5</v>
      </c>
      <c r="F651" s="106">
        <v>19</v>
      </c>
      <c r="G651" s="106">
        <v>0</v>
      </c>
      <c r="H651" s="120">
        <v>112.32</v>
      </c>
      <c r="I651" s="120">
        <v>72</v>
      </c>
      <c r="L651" s="22">
        <v>2010</v>
      </c>
      <c r="M651" s="22">
        <v>276</v>
      </c>
    </row>
    <row r="652" spans="2:13" s="22" customFormat="1" x14ac:dyDescent="0.3">
      <c r="B652" s="42">
        <f t="shared" si="10"/>
        <v>40455</v>
      </c>
      <c r="D652" s="106">
        <v>23.8034</v>
      </c>
      <c r="E652" s="106">
        <v>33.5</v>
      </c>
      <c r="F652" s="106">
        <v>19.5</v>
      </c>
      <c r="G652" s="106">
        <v>0</v>
      </c>
      <c r="H652" s="120">
        <v>129.6</v>
      </c>
      <c r="I652" s="120">
        <v>71</v>
      </c>
      <c r="L652" s="22">
        <v>2010</v>
      </c>
      <c r="M652" s="22">
        <v>277</v>
      </c>
    </row>
    <row r="653" spans="2:13" s="22" customFormat="1" x14ac:dyDescent="0.3">
      <c r="B653" s="42">
        <f t="shared" si="10"/>
        <v>40456</v>
      </c>
      <c r="D653" s="106">
        <v>22.413900000000002</v>
      </c>
      <c r="E653" s="106">
        <v>33.25</v>
      </c>
      <c r="F653" s="106">
        <v>19.5</v>
      </c>
      <c r="G653" s="106">
        <v>0</v>
      </c>
      <c r="H653" s="120">
        <v>190.08</v>
      </c>
      <c r="I653" s="120">
        <v>69</v>
      </c>
      <c r="L653" s="22">
        <v>2010</v>
      </c>
      <c r="M653" s="22">
        <v>278</v>
      </c>
    </row>
    <row r="654" spans="2:13" s="22" customFormat="1" x14ac:dyDescent="0.3">
      <c r="B654" s="42">
        <f t="shared" si="10"/>
        <v>40457</v>
      </c>
      <c r="D654" s="106">
        <v>20.878799999999998</v>
      </c>
      <c r="E654" s="106">
        <v>31</v>
      </c>
      <c r="F654" s="106">
        <v>20.25</v>
      </c>
      <c r="G654" s="106">
        <v>1</v>
      </c>
      <c r="H654" s="120">
        <v>164.16</v>
      </c>
      <c r="I654" s="120">
        <v>76</v>
      </c>
      <c r="L654" s="22">
        <v>2010</v>
      </c>
      <c r="M654" s="22">
        <v>279</v>
      </c>
    </row>
    <row r="655" spans="2:13" s="22" customFormat="1" x14ac:dyDescent="0.3">
      <c r="B655" s="42">
        <f t="shared" si="10"/>
        <v>40458</v>
      </c>
      <c r="D655" s="106">
        <v>14.7348</v>
      </c>
      <c r="E655" s="106">
        <v>32.25</v>
      </c>
      <c r="F655" s="106">
        <v>20.5</v>
      </c>
      <c r="G655" s="106">
        <v>5</v>
      </c>
      <c r="H655" s="120">
        <v>86.4</v>
      </c>
      <c r="I655" s="120">
        <v>77</v>
      </c>
      <c r="L655" s="22">
        <v>2010</v>
      </c>
      <c r="M655" s="22">
        <v>280</v>
      </c>
    </row>
    <row r="656" spans="2:13" s="22" customFormat="1" x14ac:dyDescent="0.3">
      <c r="B656" s="42">
        <f t="shared" si="10"/>
        <v>40459</v>
      </c>
      <c r="D656" s="106">
        <v>16.3355</v>
      </c>
      <c r="E656" s="106">
        <v>30.25</v>
      </c>
      <c r="F656" s="106">
        <v>20.25</v>
      </c>
      <c r="G656" s="106">
        <v>4</v>
      </c>
      <c r="H656" s="120">
        <v>77.760000000000005</v>
      </c>
      <c r="I656" s="120">
        <v>80</v>
      </c>
      <c r="L656" s="22">
        <v>2010</v>
      </c>
      <c r="M656" s="22">
        <v>281</v>
      </c>
    </row>
    <row r="657" spans="2:13" s="22" customFormat="1" x14ac:dyDescent="0.3">
      <c r="B657" s="42">
        <f t="shared" si="10"/>
        <v>40460</v>
      </c>
      <c r="D657" s="106">
        <v>21.489100000000001</v>
      </c>
      <c r="E657" s="106">
        <v>31.25</v>
      </c>
      <c r="F657" s="106">
        <v>20.5</v>
      </c>
      <c r="G657" s="106">
        <v>0</v>
      </c>
      <c r="H657" s="120">
        <v>86.4</v>
      </c>
      <c r="I657" s="120">
        <v>72</v>
      </c>
      <c r="L657" s="22">
        <v>2010</v>
      </c>
      <c r="M657" s="22">
        <v>282</v>
      </c>
    </row>
    <row r="658" spans="2:13" s="22" customFormat="1" x14ac:dyDescent="0.3">
      <c r="B658" s="42">
        <f t="shared" si="10"/>
        <v>40461</v>
      </c>
      <c r="D658" s="106">
        <v>23.811299999999999</v>
      </c>
      <c r="E658" s="106">
        <v>33.75</v>
      </c>
      <c r="F658" s="106">
        <v>20.5</v>
      </c>
      <c r="G658" s="106">
        <v>0</v>
      </c>
      <c r="H658" s="120">
        <v>86.4</v>
      </c>
      <c r="I658" s="120">
        <v>61</v>
      </c>
      <c r="L658" s="22">
        <v>2010</v>
      </c>
      <c r="M658" s="22">
        <v>283</v>
      </c>
    </row>
    <row r="659" spans="2:13" s="22" customFormat="1" x14ac:dyDescent="0.3">
      <c r="B659" s="42">
        <f t="shared" si="10"/>
        <v>40462</v>
      </c>
      <c r="D659" s="106">
        <v>13.2684</v>
      </c>
      <c r="E659" s="106">
        <v>28.5</v>
      </c>
      <c r="F659" s="106">
        <v>21</v>
      </c>
      <c r="G659" s="106">
        <v>0</v>
      </c>
      <c r="H659" s="120">
        <v>198.72</v>
      </c>
      <c r="I659" s="120">
        <v>75</v>
      </c>
      <c r="L659" s="22">
        <v>2010</v>
      </c>
      <c r="M659" s="22">
        <v>284</v>
      </c>
    </row>
    <row r="660" spans="2:13" s="22" customFormat="1" x14ac:dyDescent="0.3">
      <c r="B660" s="42">
        <f t="shared" si="10"/>
        <v>40463</v>
      </c>
      <c r="D660" s="106">
        <v>21.200399999999998</v>
      </c>
      <c r="E660" s="106">
        <v>31.75</v>
      </c>
      <c r="F660" s="106">
        <v>21</v>
      </c>
      <c r="G660" s="106">
        <v>100</v>
      </c>
      <c r="H660" s="120">
        <v>69.12</v>
      </c>
      <c r="I660" s="120">
        <v>77</v>
      </c>
      <c r="L660" s="22">
        <v>2010</v>
      </c>
      <c r="M660" s="22">
        <v>285</v>
      </c>
    </row>
    <row r="661" spans="2:13" s="22" customFormat="1" x14ac:dyDescent="0.3">
      <c r="B661" s="42">
        <f t="shared" si="10"/>
        <v>40464</v>
      </c>
      <c r="D661" s="106">
        <v>15.852499999999999</v>
      </c>
      <c r="E661" s="106">
        <v>33</v>
      </c>
      <c r="F661" s="106">
        <v>18.5</v>
      </c>
      <c r="G661" s="106">
        <v>0</v>
      </c>
      <c r="H661" s="120">
        <v>112.32</v>
      </c>
      <c r="I661" s="120">
        <v>74</v>
      </c>
      <c r="L661" s="22">
        <v>2010</v>
      </c>
      <c r="M661" s="22">
        <v>286</v>
      </c>
    </row>
    <row r="662" spans="2:13" s="22" customFormat="1" x14ac:dyDescent="0.3">
      <c r="B662" s="42">
        <f t="shared" si="10"/>
        <v>40465</v>
      </c>
      <c r="D662" s="106">
        <v>17.2834</v>
      </c>
      <c r="E662" s="106">
        <v>31.5</v>
      </c>
      <c r="F662" s="106">
        <v>22</v>
      </c>
      <c r="G662" s="106">
        <v>43</v>
      </c>
      <c r="H662" s="120">
        <v>112.32</v>
      </c>
      <c r="I662" s="120">
        <v>81</v>
      </c>
      <c r="L662" s="22">
        <v>2010</v>
      </c>
      <c r="M662" s="22">
        <v>287</v>
      </c>
    </row>
    <row r="663" spans="2:13" s="22" customFormat="1" x14ac:dyDescent="0.3">
      <c r="B663" s="42">
        <f t="shared" si="10"/>
        <v>40466</v>
      </c>
      <c r="D663" s="106">
        <v>8.5891599999999997</v>
      </c>
      <c r="E663" s="106">
        <v>32.5</v>
      </c>
      <c r="F663" s="106">
        <v>21.5</v>
      </c>
      <c r="G663" s="106">
        <v>0</v>
      </c>
      <c r="H663" s="120">
        <v>95.04</v>
      </c>
      <c r="I663" s="120">
        <v>64</v>
      </c>
      <c r="L663" s="22">
        <v>2010</v>
      </c>
      <c r="M663" s="22">
        <v>288</v>
      </c>
    </row>
    <row r="664" spans="2:13" s="22" customFormat="1" x14ac:dyDescent="0.3">
      <c r="B664" s="42">
        <f t="shared" si="10"/>
        <v>40467</v>
      </c>
      <c r="D664" s="106">
        <v>8.5641300000000005</v>
      </c>
      <c r="E664" s="106">
        <v>32.25</v>
      </c>
      <c r="F664" s="106">
        <v>18.05</v>
      </c>
      <c r="G664" s="106">
        <v>0</v>
      </c>
      <c r="H664" s="120">
        <v>34.56</v>
      </c>
      <c r="I664" s="120">
        <v>69</v>
      </c>
      <c r="L664" s="22">
        <v>2010</v>
      </c>
      <c r="M664" s="22">
        <v>289</v>
      </c>
    </row>
    <row r="665" spans="2:13" s="22" customFormat="1" x14ac:dyDescent="0.3">
      <c r="B665" s="42">
        <f t="shared" si="10"/>
        <v>40468</v>
      </c>
      <c r="D665" s="106">
        <v>18.471699999999998</v>
      </c>
      <c r="E665" s="106">
        <v>33.75</v>
      </c>
      <c r="F665" s="106">
        <v>21</v>
      </c>
      <c r="G665" s="106">
        <v>0</v>
      </c>
      <c r="H665" s="120">
        <v>155.52000000000001</v>
      </c>
      <c r="I665" s="120">
        <v>70</v>
      </c>
      <c r="L665" s="22">
        <v>2010</v>
      </c>
      <c r="M665" s="22">
        <v>290</v>
      </c>
    </row>
    <row r="666" spans="2:13" s="22" customFormat="1" x14ac:dyDescent="0.3">
      <c r="B666" s="42">
        <f t="shared" si="10"/>
        <v>40469</v>
      </c>
      <c r="D666" s="106">
        <v>21.924800000000001</v>
      </c>
      <c r="E666" s="106">
        <v>34.5</v>
      </c>
      <c r="F666" s="106">
        <v>20.5</v>
      </c>
      <c r="G666" s="106">
        <v>0</v>
      </c>
      <c r="H666" s="120">
        <v>138.24</v>
      </c>
      <c r="I666" s="120">
        <v>69</v>
      </c>
      <c r="L666" s="22">
        <v>2010</v>
      </c>
      <c r="M666" s="22">
        <v>291</v>
      </c>
    </row>
    <row r="667" spans="2:13" s="22" customFormat="1" x14ac:dyDescent="0.3">
      <c r="B667" s="42">
        <f t="shared" si="10"/>
        <v>40470</v>
      </c>
      <c r="D667" s="106">
        <v>23.035599999999999</v>
      </c>
      <c r="E667" s="106">
        <v>33.75</v>
      </c>
      <c r="F667" s="106">
        <v>21.75</v>
      </c>
      <c r="G667" s="106">
        <v>0</v>
      </c>
      <c r="H667" s="120">
        <v>155.52000000000001</v>
      </c>
      <c r="I667" s="120">
        <v>79</v>
      </c>
      <c r="L667" s="22">
        <v>2010</v>
      </c>
      <c r="M667" s="22">
        <v>292</v>
      </c>
    </row>
    <row r="668" spans="2:13" s="22" customFormat="1" x14ac:dyDescent="0.3">
      <c r="B668" s="42">
        <f t="shared" si="10"/>
        <v>40471</v>
      </c>
      <c r="D668" s="106">
        <v>16.8827</v>
      </c>
      <c r="E668" s="106">
        <v>33.75</v>
      </c>
      <c r="F668" s="106">
        <v>21</v>
      </c>
      <c r="G668" s="106">
        <v>0</v>
      </c>
      <c r="H668" s="120">
        <v>172.8</v>
      </c>
      <c r="I668" s="120">
        <v>73</v>
      </c>
      <c r="L668" s="22">
        <v>2010</v>
      </c>
      <c r="M668" s="22">
        <v>293</v>
      </c>
    </row>
    <row r="669" spans="2:13" s="22" customFormat="1" x14ac:dyDescent="0.3">
      <c r="B669" s="42">
        <f t="shared" si="10"/>
        <v>40472</v>
      </c>
      <c r="D669" s="106">
        <v>20.171299999999999</v>
      </c>
      <c r="E669" s="106">
        <v>35.25</v>
      </c>
      <c r="F669" s="106">
        <v>19.5</v>
      </c>
      <c r="G669" s="106">
        <v>0</v>
      </c>
      <c r="H669" s="120">
        <v>155.52000000000001</v>
      </c>
      <c r="I669" s="120">
        <v>67</v>
      </c>
      <c r="L669" s="22">
        <v>2010</v>
      </c>
      <c r="M669" s="22">
        <v>294</v>
      </c>
    </row>
    <row r="670" spans="2:13" s="22" customFormat="1" x14ac:dyDescent="0.3">
      <c r="B670" s="42">
        <f t="shared" si="10"/>
        <v>40473</v>
      </c>
      <c r="D670" s="106">
        <v>21.421700000000001</v>
      </c>
      <c r="E670" s="106">
        <v>33.5</v>
      </c>
      <c r="F670" s="106">
        <v>18.5</v>
      </c>
      <c r="G670" s="106">
        <v>0</v>
      </c>
      <c r="H670" s="120">
        <v>77.760000000000005</v>
      </c>
      <c r="I670" s="120">
        <v>52</v>
      </c>
      <c r="L670" s="22">
        <v>2010</v>
      </c>
      <c r="M670" s="22">
        <v>295</v>
      </c>
    </row>
    <row r="671" spans="2:13" s="22" customFormat="1" x14ac:dyDescent="0.3">
      <c r="B671" s="42">
        <f t="shared" si="10"/>
        <v>40474</v>
      </c>
      <c r="D671" s="106">
        <v>22.810700000000001</v>
      </c>
      <c r="E671" s="106">
        <v>34.799999999999997</v>
      </c>
      <c r="F671" s="106">
        <v>19.5</v>
      </c>
      <c r="G671" s="106">
        <v>0</v>
      </c>
      <c r="H671" s="120">
        <v>60.48</v>
      </c>
      <c r="I671" s="120">
        <v>66</v>
      </c>
      <c r="L671" s="22">
        <v>2010</v>
      </c>
      <c r="M671" s="22">
        <v>296</v>
      </c>
    </row>
    <row r="672" spans="2:13" s="22" customFormat="1" x14ac:dyDescent="0.3">
      <c r="B672" s="42">
        <f t="shared" si="10"/>
        <v>40475</v>
      </c>
      <c r="D672" s="106">
        <v>22.034099999999999</v>
      </c>
      <c r="E672" s="106">
        <v>35</v>
      </c>
      <c r="F672" s="106">
        <v>19.5</v>
      </c>
      <c r="G672" s="106">
        <v>0</v>
      </c>
      <c r="H672" s="120">
        <v>95.04</v>
      </c>
      <c r="I672" s="120">
        <v>63</v>
      </c>
      <c r="L672" s="22">
        <v>2010</v>
      </c>
      <c r="M672" s="22">
        <v>297</v>
      </c>
    </row>
    <row r="673" spans="2:13" s="22" customFormat="1" x14ac:dyDescent="0.3">
      <c r="B673" s="42">
        <f t="shared" si="10"/>
        <v>40476</v>
      </c>
      <c r="D673" s="106">
        <v>23.414899999999999</v>
      </c>
      <c r="E673" s="106">
        <v>34.75</v>
      </c>
      <c r="F673" s="106">
        <v>19</v>
      </c>
      <c r="G673" s="106">
        <v>0</v>
      </c>
      <c r="H673" s="120">
        <v>120.96</v>
      </c>
      <c r="I673" s="120">
        <v>67</v>
      </c>
      <c r="L673" s="22">
        <v>2010</v>
      </c>
      <c r="M673" s="22">
        <v>298</v>
      </c>
    </row>
    <row r="674" spans="2:13" s="22" customFormat="1" x14ac:dyDescent="0.3">
      <c r="B674" s="42">
        <f t="shared" si="10"/>
        <v>40477</v>
      </c>
      <c r="D674" s="106">
        <v>20.490100000000002</v>
      </c>
      <c r="E674" s="106">
        <v>34</v>
      </c>
      <c r="F674" s="106">
        <v>20</v>
      </c>
      <c r="G674" s="106">
        <v>6</v>
      </c>
      <c r="H674" s="120">
        <v>103.68</v>
      </c>
      <c r="I674" s="120">
        <v>63</v>
      </c>
      <c r="L674" s="22">
        <v>2010</v>
      </c>
      <c r="M674" s="22">
        <v>299</v>
      </c>
    </row>
    <row r="675" spans="2:13" s="22" customFormat="1" x14ac:dyDescent="0.3">
      <c r="B675" s="42">
        <f t="shared" si="10"/>
        <v>40478</v>
      </c>
      <c r="D675" s="106">
        <v>20.294699999999999</v>
      </c>
      <c r="E675" s="106">
        <v>33.5</v>
      </c>
      <c r="F675" s="106">
        <v>19.5</v>
      </c>
      <c r="G675" s="106">
        <v>1.5</v>
      </c>
      <c r="H675" s="120">
        <v>224.64</v>
      </c>
      <c r="I675" s="120">
        <v>74</v>
      </c>
      <c r="L675" s="22">
        <v>2010</v>
      </c>
      <c r="M675" s="22">
        <v>300</v>
      </c>
    </row>
    <row r="676" spans="2:13" s="22" customFormat="1" x14ac:dyDescent="0.3">
      <c r="B676" s="42">
        <f t="shared" si="10"/>
        <v>40479</v>
      </c>
      <c r="D676" s="106">
        <v>18.958500000000001</v>
      </c>
      <c r="E676" s="106">
        <v>32.25</v>
      </c>
      <c r="F676" s="106">
        <v>20</v>
      </c>
      <c r="G676" s="106">
        <v>0</v>
      </c>
      <c r="H676" s="120">
        <v>17.28</v>
      </c>
      <c r="I676" s="120">
        <v>60</v>
      </c>
      <c r="L676" s="22">
        <v>2010</v>
      </c>
      <c r="M676" s="22">
        <v>301</v>
      </c>
    </row>
    <row r="677" spans="2:13" s="22" customFormat="1" x14ac:dyDescent="0.3">
      <c r="B677" s="42">
        <f t="shared" si="10"/>
        <v>40480</v>
      </c>
      <c r="D677" s="106">
        <v>21.898800000000001</v>
      </c>
      <c r="E677" s="106">
        <v>32</v>
      </c>
      <c r="F677" s="106">
        <v>18</v>
      </c>
      <c r="G677" s="106">
        <v>0</v>
      </c>
      <c r="H677" s="120">
        <v>60.48</v>
      </c>
      <c r="I677" s="120">
        <v>60</v>
      </c>
      <c r="L677" s="22">
        <v>2010</v>
      </c>
      <c r="M677" s="22">
        <v>302</v>
      </c>
    </row>
    <row r="678" spans="2:13" s="22" customFormat="1" x14ac:dyDescent="0.3">
      <c r="B678" s="42">
        <f t="shared" si="10"/>
        <v>40481</v>
      </c>
      <c r="D678" s="106">
        <v>21.8429</v>
      </c>
      <c r="E678" s="106">
        <v>35</v>
      </c>
      <c r="F678" s="106">
        <v>18.5</v>
      </c>
      <c r="G678" s="106">
        <v>0</v>
      </c>
      <c r="H678" s="120">
        <v>43.2</v>
      </c>
      <c r="I678" s="120">
        <v>56</v>
      </c>
      <c r="L678" s="22">
        <v>2010</v>
      </c>
      <c r="M678" s="22">
        <v>303</v>
      </c>
    </row>
    <row r="679" spans="2:13" s="22" customFormat="1" x14ac:dyDescent="0.3">
      <c r="B679" s="42">
        <f t="shared" si="10"/>
        <v>40482</v>
      </c>
      <c r="D679" s="106">
        <v>20.653500000000001</v>
      </c>
      <c r="E679" s="106">
        <v>35</v>
      </c>
      <c r="F679" s="106">
        <v>18.5</v>
      </c>
      <c r="G679" s="106">
        <v>0</v>
      </c>
      <c r="H679" s="120">
        <v>60.48</v>
      </c>
      <c r="I679" s="120">
        <v>65</v>
      </c>
      <c r="L679" s="22">
        <v>2010</v>
      </c>
      <c r="M679" s="22">
        <v>304</v>
      </c>
    </row>
    <row r="680" spans="2:13" s="22" customFormat="1" x14ac:dyDescent="0.3">
      <c r="B680" s="42">
        <f t="shared" si="10"/>
        <v>40483</v>
      </c>
      <c r="D680" s="106">
        <v>19.752099999999999</v>
      </c>
      <c r="E680" s="106">
        <v>32.5</v>
      </c>
      <c r="F680" s="106">
        <v>18.5</v>
      </c>
      <c r="G680" s="106">
        <v>0</v>
      </c>
      <c r="H680" s="120">
        <v>77.760000000000005</v>
      </c>
      <c r="I680" s="120">
        <v>64</v>
      </c>
      <c r="L680" s="22">
        <v>2010</v>
      </c>
      <c r="M680" s="22">
        <v>305</v>
      </c>
    </row>
    <row r="681" spans="2:13" s="22" customFormat="1" x14ac:dyDescent="0.3">
      <c r="B681" s="42">
        <f t="shared" si="10"/>
        <v>40484</v>
      </c>
      <c r="D681" s="106">
        <v>19.842300000000002</v>
      </c>
      <c r="E681" s="106">
        <v>34.5</v>
      </c>
      <c r="F681" s="106">
        <v>19.5</v>
      </c>
      <c r="G681" s="106">
        <v>0</v>
      </c>
      <c r="H681" s="120">
        <v>138.24</v>
      </c>
      <c r="I681" s="120">
        <v>64</v>
      </c>
      <c r="L681" s="22">
        <v>2010</v>
      </c>
      <c r="M681" s="22">
        <v>306</v>
      </c>
    </row>
    <row r="682" spans="2:13" s="22" customFormat="1" x14ac:dyDescent="0.3">
      <c r="B682" s="42">
        <f t="shared" si="10"/>
        <v>40485</v>
      </c>
      <c r="D682" s="106">
        <v>15.4274</v>
      </c>
      <c r="E682" s="106">
        <v>34.5</v>
      </c>
      <c r="F682" s="106">
        <v>20</v>
      </c>
      <c r="G682" s="106">
        <v>0</v>
      </c>
      <c r="H682" s="120">
        <v>8.64</v>
      </c>
      <c r="I682" s="120">
        <v>65</v>
      </c>
      <c r="L682" s="22">
        <v>2010</v>
      </c>
      <c r="M682" s="22">
        <v>307</v>
      </c>
    </row>
    <row r="683" spans="2:13" s="22" customFormat="1" x14ac:dyDescent="0.3">
      <c r="B683" s="42">
        <f t="shared" ref="B683:B740" si="11">DATE(L683-1,12,31)+M683</f>
        <v>40486</v>
      </c>
      <c r="D683" s="106">
        <v>19.459800000000001</v>
      </c>
      <c r="E683" s="106">
        <v>34.5</v>
      </c>
      <c r="F683" s="106">
        <v>17.5</v>
      </c>
      <c r="G683" s="106">
        <v>0</v>
      </c>
      <c r="H683" s="120">
        <v>129.6</v>
      </c>
      <c r="I683" s="120">
        <v>41</v>
      </c>
      <c r="L683" s="22">
        <v>2010</v>
      </c>
      <c r="M683" s="22">
        <v>308</v>
      </c>
    </row>
    <row r="684" spans="2:13" s="22" customFormat="1" x14ac:dyDescent="0.3">
      <c r="B684" s="42">
        <f t="shared" si="11"/>
        <v>40487</v>
      </c>
      <c r="D684" s="106">
        <v>21.9329</v>
      </c>
      <c r="E684" s="106">
        <v>32.25</v>
      </c>
      <c r="F684" s="106">
        <v>14.25</v>
      </c>
      <c r="G684" s="106">
        <v>0</v>
      </c>
      <c r="H684" s="120">
        <v>103.68</v>
      </c>
      <c r="I684" s="120">
        <v>43</v>
      </c>
      <c r="L684" s="22">
        <v>2010</v>
      </c>
      <c r="M684" s="22">
        <v>309</v>
      </c>
    </row>
    <row r="685" spans="2:13" s="22" customFormat="1" x14ac:dyDescent="0.3">
      <c r="B685" s="42">
        <f t="shared" si="11"/>
        <v>40488</v>
      </c>
      <c r="D685" s="106">
        <v>21.3186</v>
      </c>
      <c r="E685" s="106">
        <v>32</v>
      </c>
      <c r="F685" s="106">
        <v>14.25</v>
      </c>
      <c r="G685" s="106">
        <v>0</v>
      </c>
      <c r="H685" s="120">
        <v>69.12</v>
      </c>
      <c r="I685" s="120">
        <v>43</v>
      </c>
      <c r="L685" s="22">
        <v>2010</v>
      </c>
      <c r="M685" s="22">
        <v>310</v>
      </c>
    </row>
    <row r="686" spans="2:13" s="22" customFormat="1" x14ac:dyDescent="0.3">
      <c r="B686" s="42">
        <f t="shared" si="11"/>
        <v>40489</v>
      </c>
      <c r="D686" s="106">
        <v>20.567799999999998</v>
      </c>
      <c r="E686" s="106">
        <v>33.25</v>
      </c>
      <c r="F686" s="106">
        <v>15</v>
      </c>
      <c r="G686" s="106">
        <v>0</v>
      </c>
      <c r="H686" s="120">
        <v>69.12</v>
      </c>
      <c r="I686" s="120">
        <v>51</v>
      </c>
      <c r="L686" s="22">
        <v>2010</v>
      </c>
      <c r="M686" s="22">
        <v>311</v>
      </c>
    </row>
    <row r="687" spans="2:13" s="22" customFormat="1" x14ac:dyDescent="0.3">
      <c r="B687" s="42">
        <f t="shared" si="11"/>
        <v>40490</v>
      </c>
      <c r="D687" s="106">
        <v>18.0106</v>
      </c>
      <c r="E687" s="106">
        <v>33.25</v>
      </c>
      <c r="F687" s="106">
        <v>19</v>
      </c>
      <c r="G687" s="106">
        <v>0</v>
      </c>
      <c r="H687" s="120">
        <v>120.96</v>
      </c>
      <c r="I687" s="120">
        <v>64</v>
      </c>
      <c r="L687" s="22">
        <v>2010</v>
      </c>
      <c r="M687" s="22">
        <v>312</v>
      </c>
    </row>
    <row r="688" spans="2:13" s="22" customFormat="1" x14ac:dyDescent="0.3">
      <c r="B688" s="42">
        <f t="shared" si="11"/>
        <v>40491</v>
      </c>
      <c r="D688" s="106">
        <v>18.382200000000001</v>
      </c>
      <c r="E688" s="106">
        <v>33.25</v>
      </c>
      <c r="F688" s="106">
        <v>19</v>
      </c>
      <c r="G688" s="106">
        <v>0</v>
      </c>
      <c r="H688" s="120">
        <v>112.32</v>
      </c>
      <c r="I688" s="120">
        <v>57</v>
      </c>
      <c r="L688" s="22">
        <v>2010</v>
      </c>
      <c r="M688" s="22">
        <v>313</v>
      </c>
    </row>
    <row r="689" spans="2:13" s="22" customFormat="1" x14ac:dyDescent="0.3">
      <c r="B689" s="42">
        <f t="shared" si="11"/>
        <v>40492</v>
      </c>
      <c r="D689" s="106">
        <v>21.802199999999999</v>
      </c>
      <c r="E689" s="106">
        <v>33.5</v>
      </c>
      <c r="F689" s="106">
        <v>17</v>
      </c>
      <c r="G689" s="106">
        <v>0</v>
      </c>
      <c r="H689" s="120">
        <v>146.88</v>
      </c>
      <c r="I689" s="120">
        <v>45</v>
      </c>
      <c r="L689" s="22">
        <v>2010</v>
      </c>
      <c r="M689" s="22">
        <v>314</v>
      </c>
    </row>
    <row r="690" spans="2:13" s="22" customFormat="1" x14ac:dyDescent="0.3">
      <c r="B690" s="42">
        <f t="shared" si="11"/>
        <v>40493</v>
      </c>
      <c r="D690" s="106">
        <v>21.058199999999999</v>
      </c>
      <c r="E690" s="106">
        <v>33</v>
      </c>
      <c r="F690" s="106">
        <v>14.5</v>
      </c>
      <c r="G690" s="106">
        <v>0</v>
      </c>
      <c r="H690" s="120">
        <v>336.96</v>
      </c>
      <c r="I690" s="120">
        <v>37</v>
      </c>
      <c r="L690" s="22">
        <v>2010</v>
      </c>
      <c r="M690" s="22">
        <v>315</v>
      </c>
    </row>
    <row r="691" spans="2:13" s="22" customFormat="1" x14ac:dyDescent="0.3">
      <c r="B691" s="42">
        <f t="shared" si="11"/>
        <v>40494</v>
      </c>
      <c r="D691" s="106">
        <v>21.007999999999999</v>
      </c>
      <c r="E691" s="106">
        <v>34.25</v>
      </c>
      <c r="F691" s="106">
        <v>13</v>
      </c>
      <c r="G691" s="106">
        <v>0</v>
      </c>
      <c r="H691" s="120">
        <v>267.83999999999997</v>
      </c>
      <c r="I691" s="120">
        <v>40</v>
      </c>
      <c r="L691" s="22">
        <v>2010</v>
      </c>
      <c r="M691" s="22">
        <v>316</v>
      </c>
    </row>
    <row r="692" spans="2:13" s="22" customFormat="1" x14ac:dyDescent="0.3">
      <c r="B692" s="42">
        <f t="shared" si="11"/>
        <v>40495</v>
      </c>
      <c r="D692" s="106">
        <v>20.958500000000001</v>
      </c>
      <c r="E692" s="106">
        <v>33.75</v>
      </c>
      <c r="F692" s="106">
        <v>11.5</v>
      </c>
      <c r="G692" s="106">
        <v>0</v>
      </c>
      <c r="H692" s="120">
        <v>172.8</v>
      </c>
      <c r="I692" s="120">
        <v>42</v>
      </c>
      <c r="L692" s="22">
        <v>2010</v>
      </c>
      <c r="M692" s="22">
        <v>317</v>
      </c>
    </row>
    <row r="693" spans="2:13" s="22" customFormat="1" x14ac:dyDescent="0.3">
      <c r="B693" s="42">
        <f t="shared" si="11"/>
        <v>40496</v>
      </c>
      <c r="D693" s="106">
        <v>20.3599</v>
      </c>
      <c r="E693" s="106">
        <v>34.5</v>
      </c>
      <c r="F693" s="106">
        <v>13.25</v>
      </c>
      <c r="G693" s="106">
        <v>0</v>
      </c>
      <c r="H693" s="120">
        <v>69.12</v>
      </c>
      <c r="I693" s="120">
        <v>46</v>
      </c>
      <c r="L693" s="22">
        <v>2010</v>
      </c>
      <c r="M693" s="22">
        <v>318</v>
      </c>
    </row>
    <row r="694" spans="2:13" s="22" customFormat="1" x14ac:dyDescent="0.3">
      <c r="B694" s="42">
        <f t="shared" si="11"/>
        <v>40497</v>
      </c>
      <c r="D694" s="106">
        <v>16.746500000000001</v>
      </c>
      <c r="E694" s="106">
        <v>34.75</v>
      </c>
      <c r="F694" s="106">
        <v>15.5</v>
      </c>
      <c r="G694" s="106">
        <v>0</v>
      </c>
      <c r="H694" s="120">
        <v>129.6</v>
      </c>
      <c r="I694" s="120">
        <v>68</v>
      </c>
      <c r="L694" s="22">
        <v>2010</v>
      </c>
      <c r="M694" s="22">
        <v>319</v>
      </c>
    </row>
    <row r="695" spans="2:13" s="22" customFormat="1" x14ac:dyDescent="0.3">
      <c r="B695" s="42">
        <f t="shared" si="11"/>
        <v>40498</v>
      </c>
      <c r="D695" s="106">
        <v>20.677900000000001</v>
      </c>
      <c r="E695" s="106">
        <v>32.75</v>
      </c>
      <c r="F695" s="106">
        <v>17.5</v>
      </c>
      <c r="G695" s="106">
        <v>0</v>
      </c>
      <c r="H695" s="120">
        <v>8.64</v>
      </c>
      <c r="I695" s="120">
        <v>62</v>
      </c>
      <c r="L695" s="22">
        <v>2010</v>
      </c>
      <c r="M695" s="22">
        <v>320</v>
      </c>
    </row>
    <row r="696" spans="2:13" s="22" customFormat="1" x14ac:dyDescent="0.3">
      <c r="B696" s="42">
        <f t="shared" si="11"/>
        <v>40499</v>
      </c>
      <c r="D696" s="106">
        <v>20.768599999999999</v>
      </c>
      <c r="E696" s="106">
        <v>35.75</v>
      </c>
      <c r="F696" s="106">
        <v>15</v>
      </c>
      <c r="G696" s="106">
        <v>0</v>
      </c>
      <c r="H696" s="120">
        <v>69.12</v>
      </c>
      <c r="I696" s="120">
        <v>54</v>
      </c>
      <c r="L696" s="22">
        <v>2010</v>
      </c>
      <c r="M696" s="22">
        <v>321</v>
      </c>
    </row>
    <row r="697" spans="2:13" s="22" customFormat="1" x14ac:dyDescent="0.3">
      <c r="B697" s="42">
        <f t="shared" si="11"/>
        <v>40500</v>
      </c>
      <c r="D697" s="106">
        <v>20.723299999999998</v>
      </c>
      <c r="E697" s="106">
        <v>36</v>
      </c>
      <c r="F697" s="106">
        <v>13</v>
      </c>
      <c r="G697" s="106">
        <v>0</v>
      </c>
      <c r="H697" s="120">
        <v>120.96</v>
      </c>
      <c r="I697" s="120">
        <v>46</v>
      </c>
      <c r="L697" s="22">
        <v>2010</v>
      </c>
      <c r="M697" s="22">
        <v>322</v>
      </c>
    </row>
    <row r="698" spans="2:13" s="22" customFormat="1" x14ac:dyDescent="0.3">
      <c r="B698" s="42">
        <f t="shared" si="11"/>
        <v>40501</v>
      </c>
      <c r="D698" s="106">
        <v>20.679099999999998</v>
      </c>
      <c r="E698" s="106">
        <v>30.5</v>
      </c>
      <c r="F698" s="106">
        <v>15</v>
      </c>
      <c r="G698" s="106">
        <v>0</v>
      </c>
      <c r="H698" s="120">
        <v>146.88</v>
      </c>
      <c r="I698" s="120">
        <v>58</v>
      </c>
      <c r="L698" s="22">
        <v>2010</v>
      </c>
      <c r="M698" s="22">
        <v>323</v>
      </c>
    </row>
    <row r="699" spans="2:13" s="22" customFormat="1" x14ac:dyDescent="0.3">
      <c r="B699" s="42">
        <f t="shared" si="11"/>
        <v>40502</v>
      </c>
      <c r="D699" s="106">
        <v>21.315100000000001</v>
      </c>
      <c r="E699" s="106">
        <v>31</v>
      </c>
      <c r="F699" s="106">
        <v>11.5</v>
      </c>
      <c r="G699" s="106">
        <v>0</v>
      </c>
      <c r="H699" s="120">
        <v>164.16</v>
      </c>
      <c r="I699" s="120">
        <v>40</v>
      </c>
      <c r="L699" s="22">
        <v>2010</v>
      </c>
      <c r="M699" s="22">
        <v>324</v>
      </c>
    </row>
    <row r="700" spans="2:13" s="22" customFormat="1" x14ac:dyDescent="0.3">
      <c r="B700" s="42">
        <f t="shared" si="11"/>
        <v>40503</v>
      </c>
      <c r="D700" s="106">
        <v>20.051200000000001</v>
      </c>
      <c r="E700" s="106">
        <v>31.25</v>
      </c>
      <c r="F700" s="106">
        <v>11</v>
      </c>
      <c r="G700" s="106">
        <v>0</v>
      </c>
      <c r="H700" s="120">
        <v>172.8</v>
      </c>
      <c r="I700" s="120">
        <v>40</v>
      </c>
      <c r="L700" s="22">
        <v>2010</v>
      </c>
      <c r="M700" s="22">
        <v>325</v>
      </c>
    </row>
    <row r="701" spans="2:13" s="22" customFormat="1" x14ac:dyDescent="0.3">
      <c r="B701" s="42">
        <f t="shared" si="11"/>
        <v>40504</v>
      </c>
      <c r="D701" s="106">
        <v>20.011099999999999</v>
      </c>
      <c r="E701" s="106">
        <v>31</v>
      </c>
      <c r="F701" s="106">
        <v>11.5</v>
      </c>
      <c r="G701" s="106">
        <v>0</v>
      </c>
      <c r="H701" s="120">
        <v>164.16</v>
      </c>
      <c r="I701" s="120">
        <v>48</v>
      </c>
      <c r="L701" s="22">
        <v>2010</v>
      </c>
      <c r="M701" s="22">
        <v>326</v>
      </c>
    </row>
    <row r="702" spans="2:13" s="22" customFormat="1" x14ac:dyDescent="0.3">
      <c r="B702" s="42">
        <f t="shared" si="11"/>
        <v>40505</v>
      </c>
      <c r="D702" s="106">
        <v>19.972000000000001</v>
      </c>
      <c r="E702" s="106">
        <v>30</v>
      </c>
      <c r="F702" s="106">
        <v>12</v>
      </c>
      <c r="G702" s="106">
        <v>0</v>
      </c>
      <c r="H702" s="120">
        <v>198.72</v>
      </c>
      <c r="I702" s="120">
        <v>57</v>
      </c>
      <c r="L702" s="22">
        <v>2010</v>
      </c>
      <c r="M702" s="22">
        <v>327</v>
      </c>
    </row>
    <row r="703" spans="2:13" s="22" customFormat="1" x14ac:dyDescent="0.3">
      <c r="B703" s="42">
        <f t="shared" si="11"/>
        <v>40506</v>
      </c>
      <c r="D703" s="106">
        <v>20.338799999999999</v>
      </c>
      <c r="E703" s="106">
        <v>29.75</v>
      </c>
      <c r="F703" s="106">
        <v>10</v>
      </c>
      <c r="G703" s="106">
        <v>0</v>
      </c>
      <c r="H703" s="120">
        <v>198.72</v>
      </c>
      <c r="I703" s="120">
        <v>39</v>
      </c>
      <c r="L703" s="22">
        <v>2010</v>
      </c>
      <c r="M703" s="22">
        <v>328</v>
      </c>
    </row>
    <row r="704" spans="2:13" s="22" customFormat="1" x14ac:dyDescent="0.3">
      <c r="B704" s="42">
        <f t="shared" si="11"/>
        <v>40507</v>
      </c>
      <c r="D704" s="106">
        <v>20.301400000000001</v>
      </c>
      <c r="E704" s="106">
        <v>28.55</v>
      </c>
      <c r="F704" s="106">
        <v>9</v>
      </c>
      <c r="G704" s="106">
        <v>0</v>
      </c>
      <c r="H704" s="120">
        <v>241.92</v>
      </c>
      <c r="I704" s="120">
        <v>36</v>
      </c>
      <c r="L704" s="22">
        <v>2010</v>
      </c>
      <c r="M704" s="22">
        <v>329</v>
      </c>
    </row>
    <row r="705" spans="2:13" s="22" customFormat="1" x14ac:dyDescent="0.3">
      <c r="B705" s="42">
        <f t="shared" si="11"/>
        <v>40508</v>
      </c>
      <c r="D705" s="106">
        <v>20.2652</v>
      </c>
      <c r="E705" s="106">
        <v>30.25</v>
      </c>
      <c r="F705" s="106">
        <v>8</v>
      </c>
      <c r="G705" s="106">
        <v>0</v>
      </c>
      <c r="H705" s="120">
        <v>250.56</v>
      </c>
      <c r="I705" s="120">
        <v>34</v>
      </c>
      <c r="L705" s="22">
        <v>2010</v>
      </c>
      <c r="M705" s="22">
        <v>330</v>
      </c>
    </row>
    <row r="706" spans="2:13" s="22" customFormat="1" x14ac:dyDescent="0.3">
      <c r="B706" s="42">
        <f t="shared" si="11"/>
        <v>40509</v>
      </c>
      <c r="D706" s="106">
        <v>20.096</v>
      </c>
      <c r="E706" s="106">
        <v>28.5</v>
      </c>
      <c r="F706" s="106">
        <v>9.5</v>
      </c>
      <c r="G706" s="106">
        <v>0</v>
      </c>
      <c r="H706" s="120">
        <v>172.8</v>
      </c>
      <c r="I706" s="120">
        <v>33</v>
      </c>
      <c r="L706" s="22">
        <v>2010</v>
      </c>
      <c r="M706" s="22">
        <v>331</v>
      </c>
    </row>
    <row r="707" spans="2:13" s="22" customFormat="1" x14ac:dyDescent="0.3">
      <c r="B707" s="42">
        <f t="shared" si="11"/>
        <v>40510</v>
      </c>
      <c r="D707" s="106">
        <v>19.660399999999999</v>
      </c>
      <c r="E707" s="106">
        <v>29.25</v>
      </c>
      <c r="F707" s="106">
        <v>9.5</v>
      </c>
      <c r="G707" s="106">
        <v>0</v>
      </c>
      <c r="H707" s="120">
        <v>250.56</v>
      </c>
      <c r="I707" s="120">
        <v>34</v>
      </c>
      <c r="L707" s="22">
        <v>2010</v>
      </c>
      <c r="M707" s="22">
        <v>332</v>
      </c>
    </row>
    <row r="708" spans="2:13" s="22" customFormat="1" x14ac:dyDescent="0.3">
      <c r="B708" s="42">
        <f t="shared" si="11"/>
        <v>40511</v>
      </c>
      <c r="D708" s="106">
        <v>20.0305</v>
      </c>
      <c r="E708" s="106">
        <v>31</v>
      </c>
      <c r="F708" s="106">
        <v>9</v>
      </c>
      <c r="G708" s="106">
        <v>0</v>
      </c>
      <c r="H708" s="120">
        <v>241.92</v>
      </c>
      <c r="I708" s="120">
        <v>35</v>
      </c>
      <c r="L708" s="22">
        <v>2010</v>
      </c>
      <c r="M708" s="22">
        <v>333</v>
      </c>
    </row>
    <row r="709" spans="2:13" s="22" customFormat="1" x14ac:dyDescent="0.3">
      <c r="B709" s="42">
        <f t="shared" si="11"/>
        <v>40512</v>
      </c>
      <c r="D709" s="106">
        <v>20.267099999999999</v>
      </c>
      <c r="E709" s="106">
        <v>28.5</v>
      </c>
      <c r="F709" s="106">
        <v>9</v>
      </c>
      <c r="G709" s="106">
        <v>0</v>
      </c>
      <c r="H709" s="120">
        <v>216</v>
      </c>
      <c r="I709" s="120">
        <v>32</v>
      </c>
      <c r="L709" s="22">
        <v>2010</v>
      </c>
      <c r="M709" s="22">
        <v>334</v>
      </c>
    </row>
    <row r="710" spans="2:13" s="22" customFormat="1" x14ac:dyDescent="0.3">
      <c r="B710" s="42">
        <f t="shared" si="11"/>
        <v>40513</v>
      </c>
      <c r="D710" s="106">
        <v>20.237300000000001</v>
      </c>
      <c r="E710" s="106">
        <v>27.25</v>
      </c>
      <c r="F710" s="106">
        <v>8</v>
      </c>
      <c r="G710" s="106">
        <v>0</v>
      </c>
      <c r="H710" s="120">
        <v>172.8</v>
      </c>
      <c r="I710" s="120">
        <v>33</v>
      </c>
      <c r="L710" s="22">
        <v>2010</v>
      </c>
      <c r="M710" s="22">
        <v>335</v>
      </c>
    </row>
    <row r="711" spans="2:13" s="22" customFormat="1" x14ac:dyDescent="0.3">
      <c r="B711" s="42">
        <f t="shared" si="11"/>
        <v>40514</v>
      </c>
      <c r="D711" s="106">
        <v>20.4757</v>
      </c>
      <c r="E711" s="106">
        <v>29</v>
      </c>
      <c r="F711" s="106">
        <v>6</v>
      </c>
      <c r="G711" s="106">
        <v>0</v>
      </c>
      <c r="H711" s="120">
        <v>190.08</v>
      </c>
      <c r="I711" s="120">
        <v>34</v>
      </c>
      <c r="L711" s="22">
        <v>2010</v>
      </c>
      <c r="M711" s="22">
        <v>336</v>
      </c>
    </row>
    <row r="712" spans="2:13" s="22" customFormat="1" x14ac:dyDescent="0.3">
      <c r="B712" s="42">
        <f t="shared" si="11"/>
        <v>40515</v>
      </c>
      <c r="D712" s="103">
        <v>20.0489</v>
      </c>
      <c r="E712" s="103">
        <v>31.5</v>
      </c>
      <c r="F712" s="103">
        <v>6.5</v>
      </c>
      <c r="G712" s="103">
        <v>0</v>
      </c>
      <c r="H712" s="119">
        <v>129.6</v>
      </c>
      <c r="I712" s="119">
        <v>33</v>
      </c>
      <c r="L712" s="45">
        <v>2010</v>
      </c>
      <c r="M712" s="45">
        <v>337</v>
      </c>
    </row>
    <row r="713" spans="2:13" s="22" customFormat="1" x14ac:dyDescent="0.3">
      <c r="B713" s="42">
        <f t="shared" si="11"/>
        <v>40516</v>
      </c>
      <c r="D713" s="103">
        <v>20.023599999999998</v>
      </c>
      <c r="E713" s="103">
        <v>30.75</v>
      </c>
      <c r="F713" s="103">
        <v>7</v>
      </c>
      <c r="G713" s="103">
        <v>0</v>
      </c>
      <c r="H713" s="119">
        <v>112.32</v>
      </c>
      <c r="I713" s="119">
        <v>33</v>
      </c>
      <c r="L713" s="45">
        <v>2010</v>
      </c>
      <c r="M713" s="45">
        <v>338</v>
      </c>
    </row>
    <row r="714" spans="2:13" s="22" customFormat="1" x14ac:dyDescent="0.3">
      <c r="B714" s="42">
        <f t="shared" si="11"/>
        <v>40517</v>
      </c>
      <c r="D714" s="103">
        <v>19.069600000000001</v>
      </c>
      <c r="E714" s="103">
        <v>28.25</v>
      </c>
      <c r="F714" s="103">
        <v>9</v>
      </c>
      <c r="G714" s="103">
        <v>0</v>
      </c>
      <c r="H714" s="119">
        <v>164.16</v>
      </c>
      <c r="I714" s="119">
        <v>38</v>
      </c>
      <c r="L714" s="45">
        <v>2010</v>
      </c>
      <c r="M714" s="45">
        <v>339</v>
      </c>
    </row>
    <row r="715" spans="2:13" s="22" customFormat="1" x14ac:dyDescent="0.3">
      <c r="B715" s="42">
        <f t="shared" si="11"/>
        <v>40518</v>
      </c>
      <c r="D715" s="103">
        <v>19.313700000000001</v>
      </c>
      <c r="E715" s="103">
        <v>28.75</v>
      </c>
      <c r="F715" s="103">
        <v>10</v>
      </c>
      <c r="G715" s="103">
        <v>0</v>
      </c>
      <c r="H715" s="119">
        <v>190.08</v>
      </c>
      <c r="I715" s="119">
        <v>32</v>
      </c>
      <c r="L715" s="45">
        <v>2010</v>
      </c>
      <c r="M715" s="45">
        <v>340</v>
      </c>
    </row>
    <row r="716" spans="2:13" s="22" customFormat="1" x14ac:dyDescent="0.3">
      <c r="B716" s="42">
        <f t="shared" si="11"/>
        <v>40519</v>
      </c>
      <c r="D716" s="103">
        <v>19.956700000000001</v>
      </c>
      <c r="E716" s="103">
        <v>27.25</v>
      </c>
      <c r="F716" s="103">
        <v>8</v>
      </c>
      <c r="G716" s="103">
        <v>0</v>
      </c>
      <c r="H716" s="119">
        <v>155.52000000000001</v>
      </c>
      <c r="I716" s="119">
        <v>34</v>
      </c>
      <c r="L716" s="45">
        <v>2010</v>
      </c>
      <c r="M716" s="45">
        <v>341</v>
      </c>
    </row>
    <row r="717" spans="2:13" s="22" customFormat="1" x14ac:dyDescent="0.3">
      <c r="B717" s="42">
        <f t="shared" si="11"/>
        <v>40520</v>
      </c>
      <c r="D717" s="103">
        <v>19.8049</v>
      </c>
      <c r="E717" s="103">
        <v>25.25</v>
      </c>
      <c r="F717" s="103">
        <v>6.25</v>
      </c>
      <c r="G717" s="103">
        <v>0</v>
      </c>
      <c r="H717" s="119">
        <v>224.64</v>
      </c>
      <c r="I717" s="119">
        <v>34</v>
      </c>
      <c r="L717" s="45">
        <v>2010</v>
      </c>
      <c r="M717" s="45">
        <v>342</v>
      </c>
    </row>
    <row r="718" spans="2:13" s="22" customFormat="1" x14ac:dyDescent="0.3">
      <c r="B718" s="42">
        <f t="shared" si="11"/>
        <v>40521</v>
      </c>
      <c r="D718" s="103">
        <v>18.595700000000001</v>
      </c>
      <c r="E718" s="103">
        <v>22.5</v>
      </c>
      <c r="F718" s="103">
        <v>6.5</v>
      </c>
      <c r="G718" s="103">
        <v>0</v>
      </c>
      <c r="H718" s="119">
        <v>250.56</v>
      </c>
      <c r="I718" s="119">
        <v>35</v>
      </c>
      <c r="L718" s="45">
        <v>2010</v>
      </c>
      <c r="M718" s="45">
        <v>343</v>
      </c>
    </row>
    <row r="719" spans="2:13" s="22" customFormat="1" x14ac:dyDescent="0.3">
      <c r="B719" s="42">
        <f t="shared" si="11"/>
        <v>40522</v>
      </c>
      <c r="D719" s="103">
        <v>19.903700000000001</v>
      </c>
      <c r="E719" s="103">
        <v>26.75</v>
      </c>
      <c r="F719" s="103">
        <v>7</v>
      </c>
      <c r="G719" s="103">
        <v>0</v>
      </c>
      <c r="H719" s="119">
        <v>250.56</v>
      </c>
      <c r="I719" s="119">
        <v>28</v>
      </c>
      <c r="L719" s="45">
        <v>2010</v>
      </c>
      <c r="M719" s="45">
        <v>344</v>
      </c>
    </row>
    <row r="720" spans="2:13" s="22" customFormat="1" x14ac:dyDescent="0.3">
      <c r="B720" s="42">
        <f t="shared" si="11"/>
        <v>40523</v>
      </c>
      <c r="D720" s="103">
        <v>19.889099999999999</v>
      </c>
      <c r="E720" s="103">
        <v>27.5</v>
      </c>
      <c r="F720" s="103">
        <v>6</v>
      </c>
      <c r="G720" s="103">
        <v>0</v>
      </c>
      <c r="H720" s="119">
        <v>198.72</v>
      </c>
      <c r="I720" s="119">
        <v>27</v>
      </c>
      <c r="L720" s="45">
        <v>2010</v>
      </c>
      <c r="M720" s="45">
        <v>345</v>
      </c>
    </row>
    <row r="721" spans="2:13" s="22" customFormat="1" x14ac:dyDescent="0.3">
      <c r="B721" s="42">
        <f t="shared" si="11"/>
        <v>40524</v>
      </c>
      <c r="D721" s="103">
        <v>19.876200000000001</v>
      </c>
      <c r="E721" s="103">
        <v>27</v>
      </c>
      <c r="F721" s="103">
        <v>5</v>
      </c>
      <c r="G721" s="103">
        <v>0</v>
      </c>
      <c r="H721" s="119">
        <v>172.8</v>
      </c>
      <c r="I721" s="119">
        <v>29</v>
      </c>
      <c r="L721" s="45">
        <v>2010</v>
      </c>
      <c r="M721" s="45">
        <v>346</v>
      </c>
    </row>
    <row r="722" spans="2:13" s="22" customFormat="1" x14ac:dyDescent="0.3">
      <c r="B722" s="42">
        <f t="shared" si="11"/>
        <v>40525</v>
      </c>
      <c r="D722" s="103">
        <v>19.864999999999998</v>
      </c>
      <c r="E722" s="103">
        <v>29.5</v>
      </c>
      <c r="F722" s="103">
        <v>6</v>
      </c>
      <c r="G722" s="103">
        <v>0</v>
      </c>
      <c r="H722" s="119">
        <v>164.16</v>
      </c>
      <c r="I722" s="119">
        <v>33</v>
      </c>
      <c r="L722" s="45">
        <v>2010</v>
      </c>
      <c r="M722" s="45">
        <v>347</v>
      </c>
    </row>
    <row r="723" spans="2:13" s="22" customFormat="1" x14ac:dyDescent="0.3">
      <c r="B723" s="42">
        <f t="shared" si="11"/>
        <v>40526</v>
      </c>
      <c r="D723" s="103">
        <v>18.799099999999999</v>
      </c>
      <c r="E723" s="103">
        <v>22.25</v>
      </c>
      <c r="F723" s="103">
        <v>7</v>
      </c>
      <c r="G723" s="103">
        <v>0</v>
      </c>
      <c r="H723" s="119">
        <v>224.64</v>
      </c>
      <c r="I723" s="119">
        <v>35</v>
      </c>
      <c r="L723" s="45">
        <v>2010</v>
      </c>
      <c r="M723" s="45">
        <v>348</v>
      </c>
    </row>
    <row r="724" spans="2:13" s="22" customFormat="1" x14ac:dyDescent="0.3">
      <c r="B724" s="42">
        <f t="shared" si="11"/>
        <v>40527</v>
      </c>
      <c r="D724" s="103">
        <v>18.791399999999999</v>
      </c>
      <c r="E724" s="103">
        <v>28.5</v>
      </c>
      <c r="F724" s="103">
        <v>8</v>
      </c>
      <c r="G724" s="103">
        <v>0</v>
      </c>
      <c r="H724" s="119">
        <v>241.92</v>
      </c>
      <c r="I724" s="119">
        <v>29</v>
      </c>
      <c r="L724" s="45">
        <v>2010</v>
      </c>
      <c r="M724" s="45">
        <v>349</v>
      </c>
    </row>
    <row r="725" spans="2:13" s="22" customFormat="1" x14ac:dyDescent="0.3">
      <c r="B725" s="42">
        <f t="shared" si="11"/>
        <v>40528</v>
      </c>
      <c r="D725" s="103">
        <v>18.653400000000001</v>
      </c>
      <c r="E725" s="103">
        <v>28.25</v>
      </c>
      <c r="F725" s="103">
        <v>7.5</v>
      </c>
      <c r="G725" s="103">
        <v>0</v>
      </c>
      <c r="H725" s="119">
        <v>207.36</v>
      </c>
      <c r="I725" s="119">
        <v>28</v>
      </c>
      <c r="L725" s="45">
        <v>2010</v>
      </c>
      <c r="M725" s="45">
        <v>350</v>
      </c>
    </row>
    <row r="726" spans="2:13" s="22" customFormat="1" x14ac:dyDescent="0.3">
      <c r="B726" s="42">
        <f t="shared" si="11"/>
        <v>40529</v>
      </c>
      <c r="D726" s="103">
        <v>19.044699999999999</v>
      </c>
      <c r="E726" s="103">
        <v>28.75</v>
      </c>
      <c r="F726" s="103">
        <v>8</v>
      </c>
      <c r="G726" s="103">
        <v>0</v>
      </c>
      <c r="H726" s="119">
        <v>172.8</v>
      </c>
      <c r="I726" s="119">
        <v>30</v>
      </c>
      <c r="L726" s="45">
        <v>2010</v>
      </c>
      <c r="M726" s="45">
        <v>351</v>
      </c>
    </row>
    <row r="727" spans="2:13" s="22" customFormat="1" x14ac:dyDescent="0.3">
      <c r="B727" s="42">
        <f t="shared" si="11"/>
        <v>40530</v>
      </c>
      <c r="D727" s="103">
        <v>18.777999999999999</v>
      </c>
      <c r="E727" s="103">
        <v>26.25</v>
      </c>
      <c r="F727" s="103">
        <v>7.25</v>
      </c>
      <c r="G727" s="103">
        <v>0</v>
      </c>
      <c r="H727" s="119">
        <v>181.44</v>
      </c>
      <c r="I727" s="119">
        <v>34</v>
      </c>
      <c r="L727" s="45">
        <v>2010</v>
      </c>
      <c r="M727" s="45">
        <v>352</v>
      </c>
    </row>
    <row r="728" spans="2:13" s="22" customFormat="1" x14ac:dyDescent="0.3">
      <c r="B728" s="42">
        <f t="shared" si="11"/>
        <v>40531</v>
      </c>
      <c r="D728" s="103">
        <v>18.381</v>
      </c>
      <c r="E728" s="103">
        <v>32.700000000000003</v>
      </c>
      <c r="F728" s="103">
        <v>7</v>
      </c>
      <c r="G728" s="103">
        <v>0</v>
      </c>
      <c r="H728" s="119">
        <v>172.8</v>
      </c>
      <c r="I728" s="119">
        <v>34</v>
      </c>
      <c r="L728" s="45">
        <v>2010</v>
      </c>
      <c r="M728" s="45">
        <v>353</v>
      </c>
    </row>
    <row r="729" spans="2:13" s="22" customFormat="1" x14ac:dyDescent="0.3">
      <c r="B729" s="42">
        <f t="shared" si="11"/>
        <v>40532</v>
      </c>
      <c r="D729" s="103">
        <v>19.568300000000001</v>
      </c>
      <c r="E729" s="103">
        <v>29.75</v>
      </c>
      <c r="F729" s="103">
        <v>7</v>
      </c>
      <c r="G729" s="103">
        <v>0</v>
      </c>
      <c r="H729" s="119">
        <v>207.36</v>
      </c>
      <c r="I729" s="119">
        <v>32</v>
      </c>
      <c r="L729" s="45">
        <v>2010</v>
      </c>
      <c r="M729" s="45">
        <v>354</v>
      </c>
    </row>
    <row r="730" spans="2:13" s="22" customFormat="1" x14ac:dyDescent="0.3">
      <c r="B730" s="42">
        <f t="shared" si="11"/>
        <v>40533</v>
      </c>
      <c r="D730" s="103">
        <v>19.5702</v>
      </c>
      <c r="E730" s="103">
        <v>27</v>
      </c>
      <c r="F730" s="103">
        <v>8</v>
      </c>
      <c r="G730" s="103">
        <v>0</v>
      </c>
      <c r="H730" s="119">
        <v>198.72</v>
      </c>
      <c r="I730" s="119">
        <v>27</v>
      </c>
      <c r="L730" s="45">
        <v>2010</v>
      </c>
      <c r="M730" s="45">
        <v>355</v>
      </c>
    </row>
    <row r="731" spans="2:13" s="22" customFormat="1" x14ac:dyDescent="0.3">
      <c r="B731" s="42">
        <f t="shared" si="11"/>
        <v>40534</v>
      </c>
      <c r="D731" s="103">
        <v>19.837700000000002</v>
      </c>
      <c r="E731" s="103">
        <v>30.25</v>
      </c>
      <c r="F731" s="103">
        <v>7</v>
      </c>
      <c r="G731" s="103">
        <v>0</v>
      </c>
      <c r="H731" s="119">
        <v>172.8</v>
      </c>
      <c r="I731" s="119">
        <v>31</v>
      </c>
      <c r="L731" s="45">
        <v>2010</v>
      </c>
      <c r="M731" s="45">
        <v>356</v>
      </c>
    </row>
    <row r="732" spans="2:13" s="22" customFormat="1" x14ac:dyDescent="0.3">
      <c r="B732" s="42">
        <f t="shared" si="11"/>
        <v>40535</v>
      </c>
      <c r="D732" s="103">
        <v>19.710999999999999</v>
      </c>
      <c r="E732" s="103">
        <v>27.5</v>
      </c>
      <c r="F732" s="103">
        <v>6</v>
      </c>
      <c r="G732" s="103">
        <v>0</v>
      </c>
      <c r="H732" s="119">
        <v>172.8</v>
      </c>
      <c r="I732" s="119">
        <v>34</v>
      </c>
      <c r="L732" s="45">
        <v>2010</v>
      </c>
      <c r="M732" s="45">
        <v>357</v>
      </c>
    </row>
    <row r="733" spans="2:13" s="22" customFormat="1" x14ac:dyDescent="0.3">
      <c r="B733" s="42">
        <f t="shared" si="11"/>
        <v>40536</v>
      </c>
      <c r="D733" s="103">
        <v>19.453900000000001</v>
      </c>
      <c r="E733" s="103">
        <v>32.75</v>
      </c>
      <c r="F733" s="103">
        <v>6</v>
      </c>
      <c r="G733" s="103">
        <v>0</v>
      </c>
      <c r="H733" s="119">
        <v>190.08</v>
      </c>
      <c r="I733" s="119">
        <v>36</v>
      </c>
      <c r="L733" s="45">
        <v>2010</v>
      </c>
      <c r="M733" s="45">
        <v>358</v>
      </c>
    </row>
    <row r="734" spans="2:13" s="22" customFormat="1" x14ac:dyDescent="0.3">
      <c r="B734" s="42">
        <f t="shared" si="11"/>
        <v>40537</v>
      </c>
      <c r="D734" s="103">
        <v>19.5945</v>
      </c>
      <c r="E734" s="103">
        <v>27.25</v>
      </c>
      <c r="F734" s="103">
        <v>6</v>
      </c>
      <c r="G734" s="103">
        <v>0</v>
      </c>
      <c r="H734" s="119">
        <v>190.08</v>
      </c>
      <c r="I734" s="119">
        <v>36</v>
      </c>
      <c r="L734" s="45">
        <v>2010</v>
      </c>
      <c r="M734" s="45">
        <v>359</v>
      </c>
    </row>
    <row r="735" spans="2:13" s="22" customFormat="1" x14ac:dyDescent="0.3">
      <c r="B735" s="42">
        <f t="shared" si="11"/>
        <v>40538</v>
      </c>
      <c r="D735" s="103">
        <v>19.8689</v>
      </c>
      <c r="E735" s="103">
        <v>26.5</v>
      </c>
      <c r="F735" s="103">
        <v>5</v>
      </c>
      <c r="G735" s="103">
        <v>0</v>
      </c>
      <c r="H735" s="119">
        <v>138.24</v>
      </c>
      <c r="I735" s="119">
        <v>37</v>
      </c>
      <c r="L735" s="45">
        <v>2010</v>
      </c>
      <c r="M735" s="45">
        <v>360</v>
      </c>
    </row>
    <row r="736" spans="2:13" s="22" customFormat="1" x14ac:dyDescent="0.3">
      <c r="B736" s="42">
        <f t="shared" si="11"/>
        <v>40539</v>
      </c>
      <c r="D736" s="103">
        <v>18.955500000000001</v>
      </c>
      <c r="E736" s="103">
        <v>27.5</v>
      </c>
      <c r="F736" s="103">
        <v>5</v>
      </c>
      <c r="G736" s="103">
        <v>0</v>
      </c>
      <c r="H736" s="119">
        <v>181.44</v>
      </c>
      <c r="I736" s="119">
        <v>31</v>
      </c>
      <c r="L736" s="45">
        <v>2010</v>
      </c>
      <c r="M736" s="45">
        <v>361</v>
      </c>
    </row>
    <row r="737" spans="2:13" s="22" customFormat="1" x14ac:dyDescent="0.3">
      <c r="B737" s="42">
        <f t="shared" si="11"/>
        <v>40540</v>
      </c>
      <c r="D737" s="103">
        <v>19.894400000000001</v>
      </c>
      <c r="E737" s="103">
        <v>25.75</v>
      </c>
      <c r="F737" s="103">
        <v>7.25</v>
      </c>
      <c r="G737" s="103">
        <v>0</v>
      </c>
      <c r="H737" s="119">
        <v>293.76</v>
      </c>
      <c r="I737" s="119">
        <v>24</v>
      </c>
      <c r="L737" s="45">
        <v>2010</v>
      </c>
      <c r="M737" s="45">
        <v>362</v>
      </c>
    </row>
    <row r="738" spans="2:13" s="22" customFormat="1" x14ac:dyDescent="0.3">
      <c r="B738" s="42">
        <f t="shared" si="11"/>
        <v>40541</v>
      </c>
      <c r="D738" s="103">
        <v>20.042000000000002</v>
      </c>
      <c r="E738" s="103">
        <v>24.25</v>
      </c>
      <c r="F738" s="103">
        <v>7</v>
      </c>
      <c r="G738" s="103">
        <v>0</v>
      </c>
      <c r="H738" s="119">
        <v>285.12</v>
      </c>
      <c r="I738" s="119">
        <v>24</v>
      </c>
      <c r="L738" s="45">
        <v>2010</v>
      </c>
      <c r="M738" s="45">
        <v>363</v>
      </c>
    </row>
    <row r="739" spans="2:13" s="22" customFormat="1" x14ac:dyDescent="0.3">
      <c r="B739" s="42">
        <f t="shared" si="11"/>
        <v>40542</v>
      </c>
      <c r="D739" s="103">
        <v>15.5547</v>
      </c>
      <c r="E739" s="103">
        <v>26.75</v>
      </c>
      <c r="F739" s="103">
        <v>7</v>
      </c>
      <c r="G739" s="103">
        <v>0</v>
      </c>
      <c r="H739" s="119">
        <v>276.48</v>
      </c>
      <c r="I739" s="119">
        <v>26</v>
      </c>
      <c r="L739" s="45">
        <v>2010</v>
      </c>
      <c r="M739" s="45">
        <v>364</v>
      </c>
    </row>
    <row r="740" spans="2:13" x14ac:dyDescent="0.3">
      <c r="B740" s="42">
        <f t="shared" si="11"/>
        <v>40543</v>
      </c>
      <c r="D740" s="103">
        <v>14.773899999999999</v>
      </c>
      <c r="E740" s="103">
        <v>25.7</v>
      </c>
      <c r="F740" s="103">
        <v>7.25</v>
      </c>
      <c r="G740" s="103">
        <v>0</v>
      </c>
      <c r="H740" s="119">
        <v>285.12</v>
      </c>
      <c r="I740" s="119">
        <v>25</v>
      </c>
      <c r="L740" s="45">
        <v>2010</v>
      </c>
      <c r="M740" s="45">
        <v>365</v>
      </c>
    </row>
  </sheetData>
  <mergeCells count="1">
    <mergeCell ref="L8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Field-mgmt</vt:lpstr>
      <vt:lpstr>Soils</vt:lpstr>
      <vt:lpstr>Weather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cporter</dc:creator>
  <cp:lastModifiedBy>falconnier</cp:lastModifiedBy>
  <cp:lastPrinted>2018-05-24T08:19:07Z</cp:lastPrinted>
  <dcterms:created xsi:type="dcterms:W3CDTF">2012-06-26T11:46:55Z</dcterms:created>
  <dcterms:modified xsi:type="dcterms:W3CDTF">2018-06-20T11:29:34Z</dcterms:modified>
</cp:coreProperties>
</file>