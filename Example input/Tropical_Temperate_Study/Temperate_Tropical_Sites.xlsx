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124226"/>
  <xr:revisionPtr revIDLastSave="0" documentId="13_ncr:1_{3F22CA53-A29E-4BA8-88F6-8E9AE6D772C7}" xr6:coauthVersionLast="47" xr6:coauthVersionMax="47" xr10:uidLastSave="{00000000-0000-0000-0000-000000000000}"/>
  <bookViews>
    <workbookView xWindow="28680" yWindow="-120" windowWidth="51840" windowHeight="21120" tabRatio="824" activeTab="20" xr2:uid="{00000000-000D-0000-FFFF-FFFF00000000}"/>
  </bookViews>
  <sheets>
    <sheet name="Description" sheetId="5" r:id="rId1"/>
    <sheet name="Biology" sheetId="13" r:id="rId2"/>
    <sheet name="Climate" sheetId="8" r:id="rId3"/>
    <sheet name="Fertilization" sheetId="1" r:id="rId4"/>
    <sheet name="Tillage" sheetId="21" r:id="rId5"/>
    <sheet name="GridRatio" sheetId="11" r:id="rId6"/>
    <sheet name="Irrig_data" sheetId="3" r:id="rId7"/>
    <sheet name="Irrig" sheetId="22" r:id="rId8"/>
    <sheet name="Drip" sheetId="16" r:id="rId9"/>
    <sheet name="DripNodes" sheetId="17" r:id="rId10"/>
    <sheet name="Init" sheetId="2" r:id="rId11"/>
    <sheet name="Gas" sheetId="25" r:id="rId12"/>
    <sheet name="Soil" sheetId="6" r:id="rId13"/>
    <sheet name="Gas_new" sheetId="19" r:id="rId14"/>
    <sheet name="Solute" sheetId="15" r:id="rId15"/>
    <sheet name="Time" sheetId="4" r:id="rId16"/>
    <sheet name="Variety" sheetId="10" r:id="rId17"/>
    <sheet name="Weather" sheetId="7" r:id="rId18"/>
    <sheet name="MulchDecomp" sheetId="18" r:id="rId19"/>
    <sheet name="MulchGeo" sheetId="20" r:id="rId20"/>
    <sheet name="WaterMovParam" sheetId="23" r:id="rId21"/>
  </sheets>
  <definedNames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8" i="6" l="1"/>
  <c r="S78" i="6"/>
  <c r="R78" i="6"/>
  <c r="U77" i="6"/>
  <c r="S77" i="6"/>
  <c r="R77" i="6"/>
  <c r="U76" i="6"/>
  <c r="S76" i="6"/>
  <c r="R76" i="6"/>
  <c r="U75" i="6"/>
  <c r="T75" i="6"/>
  <c r="S75" i="6"/>
  <c r="R75" i="6"/>
  <c r="U74" i="6"/>
  <c r="T74" i="6"/>
  <c r="S74" i="6"/>
  <c r="R74" i="6"/>
  <c r="U73" i="6"/>
  <c r="S73" i="6"/>
  <c r="R73" i="6"/>
  <c r="U72" i="6"/>
  <c r="S72" i="6"/>
  <c r="R72" i="6"/>
  <c r="U71" i="6"/>
  <c r="S71" i="6"/>
  <c r="R71" i="6"/>
  <c r="U70" i="6"/>
  <c r="T70" i="6"/>
  <c r="S70" i="6"/>
  <c r="R70" i="6"/>
  <c r="U69" i="6"/>
  <c r="S69" i="6"/>
  <c r="R69" i="6"/>
  <c r="U68" i="6"/>
  <c r="S68" i="6"/>
  <c r="R68" i="6"/>
  <c r="U67" i="6"/>
  <c r="S67" i="6"/>
  <c r="R67" i="6"/>
  <c r="U66" i="6"/>
  <c r="S66" i="6"/>
  <c r="R66" i="6"/>
  <c r="U65" i="6"/>
  <c r="S65" i="6"/>
  <c r="R65" i="6"/>
  <c r="U64" i="6"/>
  <c r="T64" i="6"/>
  <c r="S64" i="6"/>
  <c r="R64" i="6"/>
  <c r="U63" i="6"/>
  <c r="U81" i="6" s="1"/>
  <c r="T63" i="6"/>
  <c r="T81" i="6" s="1"/>
  <c r="S63" i="6"/>
  <c r="S81" i="6" s="1"/>
  <c r="R63" i="6"/>
  <c r="R81" i="6" s="1"/>
  <c r="U62" i="6"/>
  <c r="U80" i="6" s="1"/>
  <c r="T62" i="6"/>
  <c r="T80" i="6" s="1"/>
  <c r="S62" i="6"/>
  <c r="S80" i="6" s="1"/>
  <c r="R62" i="6"/>
  <c r="R80" i="6" s="1"/>
  <c r="U61" i="6"/>
  <c r="U79" i="6" s="1"/>
  <c r="T61" i="6"/>
  <c r="T79" i="6" s="1"/>
  <c r="S61" i="6"/>
  <c r="S79" i="6" s="1"/>
  <c r="R61" i="6"/>
  <c r="R79" i="6" s="1"/>
  <c r="T60" i="6"/>
  <c r="T78" i="6" s="1"/>
  <c r="T59" i="6"/>
  <c r="T77" i="6" s="1"/>
  <c r="T58" i="6"/>
  <c r="T76" i="6" s="1"/>
  <c r="T57" i="6"/>
  <c r="T56" i="6"/>
  <c r="T55" i="6"/>
  <c r="T73" i="6" s="1"/>
  <c r="T54" i="6"/>
  <c r="T72" i="6" s="1"/>
  <c r="T53" i="6"/>
  <c r="T71" i="6" s="1"/>
  <c r="T52" i="6"/>
  <c r="T51" i="6"/>
  <c r="T69" i="6" s="1"/>
  <c r="T50" i="6"/>
  <c r="T68" i="6" s="1"/>
  <c r="T49" i="6"/>
  <c r="T67" i="6" s="1"/>
  <c r="T48" i="6"/>
  <c r="T66" i="6" s="1"/>
  <c r="T47" i="6"/>
  <c r="T65" i="6" s="1"/>
  <c r="T46" i="6"/>
  <c r="T45" i="6"/>
  <c r="T44" i="6"/>
  <c r="T43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U8" i="6"/>
  <c r="U11" i="6" s="1"/>
  <c r="U14" i="6" s="1"/>
  <c r="U17" i="6" s="1"/>
  <c r="U20" i="6" s="1"/>
  <c r="U23" i="6" s="1"/>
  <c r="U26" i="6" s="1"/>
  <c r="U29" i="6" s="1"/>
  <c r="U32" i="6" s="1"/>
  <c r="U35" i="6" s="1"/>
  <c r="U38" i="6" s="1"/>
  <c r="U41" i="6" s="1"/>
  <c r="T8" i="6"/>
  <c r="U7" i="6"/>
  <c r="U10" i="6" s="1"/>
  <c r="U13" i="6" s="1"/>
  <c r="U16" i="6" s="1"/>
  <c r="U19" i="6" s="1"/>
  <c r="U22" i="6" s="1"/>
  <c r="U25" i="6" s="1"/>
  <c r="U28" i="6" s="1"/>
  <c r="U31" i="6" s="1"/>
  <c r="U34" i="6" s="1"/>
  <c r="U37" i="6" s="1"/>
  <c r="U40" i="6" s="1"/>
  <c r="T7" i="6"/>
  <c r="U6" i="6"/>
  <c r="U9" i="6" s="1"/>
  <c r="U12" i="6" s="1"/>
  <c r="U15" i="6" s="1"/>
  <c r="U18" i="6" s="1"/>
  <c r="U21" i="6" s="1"/>
  <c r="U24" i="6" s="1"/>
  <c r="U27" i="6" s="1"/>
  <c r="U30" i="6" s="1"/>
  <c r="U33" i="6" s="1"/>
  <c r="U36" i="6" s="1"/>
  <c r="U39" i="6" s="1"/>
  <c r="T6" i="6"/>
  <c r="T5" i="6"/>
  <c r="T4" i="6"/>
  <c r="T3" i="6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C4" i="5"/>
  <c r="C5" i="5" s="1"/>
  <c r="D3" i="5"/>
  <c r="C6" i="5" l="1"/>
  <c r="D5" i="5"/>
  <c r="D4" i="5"/>
  <c r="C7" i="5" l="1"/>
  <c r="D6" i="5"/>
  <c r="C8" i="5" l="1"/>
  <c r="D7" i="5"/>
  <c r="C9" i="5" l="1"/>
  <c r="D8" i="5"/>
  <c r="C10" i="5" l="1"/>
  <c r="D9" i="5"/>
  <c r="D10" i="5" l="1"/>
  <c r="C11" i="5"/>
  <c r="C12" i="5" l="1"/>
  <c r="D11" i="5"/>
  <c r="C13" i="5" l="1"/>
  <c r="D12" i="5"/>
  <c r="C14" i="5" l="1"/>
  <c r="D13" i="5"/>
  <c r="C15" i="5" l="1"/>
  <c r="D15" i="5" s="1"/>
  <c r="D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8BFB8E85-38E6-4507-9D4E-8FDCF725C5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for sprinkler or ponding when ponded as a flow of water into the field
</t>
        </r>
      </text>
    </comment>
    <comment ref="E1" authorId="0" shapeId="0" xr:uid="{AB95D92C-E3A0-4AA2-88CB-0FA87E79AD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target ponded depth for flow infil or constant depth</t>
        </r>
      </text>
    </comment>
    <comment ref="F1" authorId="0" shapeId="0" xr:uid="{3634A34F-13D8-429D-933F-72640EBBB4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type can be:
flood_H flooding as a depth of water
flood_R flooding as a rate of water input
sprinkler
</t>
        </r>
      </text>
    </comment>
    <comment ref="G1" authorId="0" shapeId="0" xr:uid="{3EE1EA1F-FE88-497B-AE2F-3C2D29C3F8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hour of day 0-23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depth seed planted (cm)</t>
        </r>
      </text>
    </comment>
    <comment ref="M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 xml:space="preserve">Author:
Begins with 2.5% up to 61cm, then half, and then 0.6
 </t>
        </r>
      </text>
    </comment>
    <comment ref="E1" authorId="0" shapeId="0" xr:uid="{E9675BCD-BC75-4CD7-8BC3-4B7C59A0ED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ug/cm3 for all C and N fractions</t>
        </r>
      </text>
    </comment>
    <comment ref="M1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Soil water potential
</t>
        </r>
      </text>
    </comment>
    <comment ref="N1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temperature of the soil
</t>
        </r>
      </text>
    </comment>
    <comment ref="U1" authorId="0" shapeId="0" xr:uid="{00000000-0006-0000-08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Bulk density (g/cm3)
</t>
        </r>
      </text>
    </comment>
  </commentList>
</comments>
</file>

<file path=xl/sharedStrings.xml><?xml version="1.0" encoding="utf-8"?>
<sst xmlns="http://schemas.openxmlformats.org/spreadsheetml/2006/main" count="1262" uniqueCount="366">
  <si>
    <t>Date</t>
  </si>
  <si>
    <t>amount</t>
  </si>
  <si>
    <t>note</t>
  </si>
  <si>
    <t>sowing</t>
  </si>
  <si>
    <t>end</t>
  </si>
  <si>
    <t>ID</t>
  </si>
  <si>
    <t>file</t>
  </si>
  <si>
    <t>es</t>
  </si>
  <si>
    <t>tb</t>
  </si>
  <si>
    <t>kd</t>
  </si>
  <si>
    <t>r0</t>
  </si>
  <si>
    <t>rL</t>
  </si>
  <si>
    <t>rm</t>
  </si>
  <si>
    <t>fa</t>
  </si>
  <si>
    <t>nq</t>
  </si>
  <si>
    <t>cs</t>
  </si>
  <si>
    <t>kh</t>
  </si>
  <si>
    <t>kL</t>
  </si>
  <si>
    <t>km</t>
  </si>
  <si>
    <t>kn</t>
  </si>
  <si>
    <t>fe</t>
  </si>
  <si>
    <t>fh</t>
  </si>
  <si>
    <t>NitrogenDefault</t>
  </si>
  <si>
    <t>dt</t>
  </si>
  <si>
    <t>BiologyDefault</t>
  </si>
  <si>
    <t>daily</t>
  </si>
  <si>
    <t>hourly</t>
  </si>
  <si>
    <t>rate(cm/hr)</t>
  </si>
  <si>
    <t>nodes</t>
  </si>
  <si>
    <t>thr</t>
  </si>
  <si>
    <t>ths</t>
  </si>
  <si>
    <t>tha</t>
  </si>
  <si>
    <t>n</t>
  </si>
  <si>
    <t>thk</t>
  </si>
  <si>
    <t>depth</t>
  </si>
  <si>
    <t>date_residue</t>
  </si>
  <si>
    <t>MulchDecomp1</t>
  </si>
  <si>
    <t>alpha_feeding</t>
  </si>
  <si>
    <t>MulchGeo1</t>
  </si>
  <si>
    <t>GasCO2Default</t>
  </si>
  <si>
    <t>epsilon_mulch</t>
  </si>
  <si>
    <t>alpha_mulch</t>
  </si>
  <si>
    <t>rho_mulch</t>
  </si>
  <si>
    <t>pore_space</t>
  </si>
  <si>
    <t>Default</t>
  </si>
  <si>
    <t>GasO2Default</t>
  </si>
  <si>
    <t>GasID.gas</t>
  </si>
  <si>
    <t>altitude(m)</t>
  </si>
  <si>
    <t>amount (mm/day)</t>
  </si>
  <si>
    <t>id</t>
  </si>
  <si>
    <t>date_start</t>
  </si>
  <si>
    <t>date_end</t>
  </si>
  <si>
    <t>type</t>
  </si>
  <si>
    <t>start_hour</t>
  </si>
  <si>
    <t>end_hour</t>
  </si>
  <si>
    <t>GasN2ODefault</t>
  </si>
  <si>
    <t>WaterMovDefault</t>
  </si>
  <si>
    <t>dtmin</t>
  </si>
  <si>
    <t>dmul1</t>
  </si>
  <si>
    <t>dmul2</t>
  </si>
  <si>
    <t>weather_id</t>
  </si>
  <si>
    <t>climate_id</t>
  </si>
  <si>
    <t>source_name</t>
  </si>
  <si>
    <t>source</t>
  </si>
  <si>
    <t>time</t>
  </si>
  <si>
    <t>hybrid</t>
  </si>
  <si>
    <t>soil_name</t>
  </si>
  <si>
    <t>soil_file</t>
  </si>
  <si>
    <t>weather_file_name</t>
  </si>
  <si>
    <t>climate_file</t>
  </si>
  <si>
    <t>location</t>
  </si>
  <si>
    <t>nitrogen_file</t>
  </si>
  <si>
    <t>solute</t>
  </si>
  <si>
    <t>path</t>
  </si>
  <si>
    <t>biology</t>
  </si>
  <si>
    <t>mulch_decomp</t>
  </si>
  <si>
    <t>gas_file</t>
  </si>
  <si>
    <t>gas_co2</t>
  </si>
  <si>
    <t>gas_o2</t>
  </si>
  <si>
    <t>gas_n2o</t>
  </si>
  <si>
    <t>tillage</t>
  </si>
  <si>
    <t>water_mov_param</t>
  </si>
  <si>
    <t>d_th_h</t>
  </si>
  <si>
    <t>d_th_l</t>
  </si>
  <si>
    <t>th_m</t>
  </si>
  <si>
    <t>qt</t>
  </si>
  <si>
    <t>d_th_d</t>
  </si>
  <si>
    <t>th_d</t>
  </si>
  <si>
    <t>latitude</t>
  </si>
  <si>
    <t>longitude</t>
  </si>
  <si>
    <t>daily_bulb</t>
  </si>
  <si>
    <t>daily_wind</t>
  </si>
  <si>
    <t>rain_intensity</t>
  </si>
  <si>
    <t>daily_conc</t>
  </si>
  <si>
    <t>furrow</t>
  </si>
  <si>
    <t>rel_humid</t>
  </si>
  <si>
    <t>daily_co2</t>
  </si>
  <si>
    <t>b_solar</t>
  </si>
  <si>
    <t>b_temp</t>
  </si>
  <si>
    <t>a_temp</t>
  </si>
  <si>
    <t>b_wind</t>
  </si>
  <si>
    <t>bir</t>
  </si>
  <si>
    <t>avg_wind</t>
  </si>
  <si>
    <t>avg_rain_rate</t>
  </si>
  <si>
    <t>chem_conc</t>
  </si>
  <si>
    <t>rh</t>
  </si>
  <si>
    <t>avg_co2</t>
  </si>
  <si>
    <t>altitude</t>
  </si>
  <si>
    <t>date</t>
  </si>
  <si>
    <t>litter_c(kg/ha)</t>
  </si>
  <si>
    <t>litter_n</t>
  </si>
  <si>
    <t>manure_c</t>
  </si>
  <si>
    <t>manure_n</t>
  </si>
  <si>
    <t>till(1/0)</t>
  </si>
  <si>
    <t>sr1</t>
  </si>
  <si>
    <t>ir1</t>
  </si>
  <si>
    <t>sr2</t>
  </si>
  <si>
    <t>ir2</t>
  </si>
  <si>
    <t>planting_depth</t>
  </si>
  <si>
    <t>x_limit_root</t>
  </si>
  <si>
    <t>gas_bc_top</t>
  </si>
  <si>
    <t>bottom_bc</t>
  </si>
  <si>
    <t>gas_bc_bottom</t>
  </si>
  <si>
    <t>init_rt_mass</t>
  </si>
  <si>
    <t>depth (mm)</t>
  </si>
  <si>
    <t>start_time</t>
  </si>
  <si>
    <t>stop_time</t>
  </si>
  <si>
    <t>distance</t>
  </si>
  <si>
    <t>population(p/ha)</t>
  </si>
  <si>
    <t>lat</t>
  </si>
  <si>
    <t>long</t>
  </si>
  <si>
    <t>row_angle</t>
  </si>
  <si>
    <t>x_seed</t>
  </si>
  <si>
    <t>seed_depth</t>
  </si>
  <si>
    <t>cec</t>
  </si>
  <si>
    <t>eo_mult</t>
  </si>
  <si>
    <t>no_soil_file</t>
  </si>
  <si>
    <t>output_soil_fIle</t>
  </si>
  <si>
    <t>row_spacing(cm)</t>
  </si>
  <si>
    <t>bottom_depth</t>
  </si>
  <si>
    <t>init_type</t>
  </si>
  <si>
    <t>humus_c</t>
  </si>
  <si>
    <t>humus_n</t>
  </si>
  <si>
    <t>litter_c</t>
  </si>
  <si>
    <t>nh4</t>
  </si>
  <si>
    <t>h_new</t>
  </si>
  <si>
    <t>tmpr</t>
  </si>
  <si>
    <t>co2(ppm)</t>
  </si>
  <si>
    <t>o2(ppm)</t>
  </si>
  <si>
    <t>n2o(ppm)</t>
  </si>
  <si>
    <t>sand</t>
  </si>
  <si>
    <t>silt</t>
  </si>
  <si>
    <t>clay</t>
  </si>
  <si>
    <t>th33</t>
  </si>
  <si>
    <t>th1500</t>
  </si>
  <si>
    <t>bd</t>
  </si>
  <si>
    <t>alfa</t>
  </si>
  <si>
    <t>ks</t>
  </si>
  <si>
    <t>kk</t>
  </si>
  <si>
    <t>epsi</t>
  </si>
  <si>
    <t>b_tort_water</t>
  </si>
  <si>
    <t>b_tort_air</t>
  </si>
  <si>
    <t>diffusion_coeff_air(cm2/day)</t>
  </si>
  <si>
    <t>diffusion_coeff_water(cm2/day)</t>
  </si>
  <si>
    <t>longitudinal_Disp</t>
  </si>
  <si>
    <t>transversal_Disp</t>
  </si>
  <si>
    <t>upstream_weighting</t>
  </si>
  <si>
    <t>max_courant</t>
  </si>
  <si>
    <t>iupw</t>
  </si>
  <si>
    <t>cour_max</t>
  </si>
  <si>
    <t>diffusion_coeff</t>
  </si>
  <si>
    <t>juvenile_leaves</t>
  </si>
  <si>
    <t>daylength_sensitive</t>
  </si>
  <si>
    <t>rmax_ltar</t>
  </si>
  <si>
    <t>rmax_ltir</t>
  </si>
  <si>
    <t>phyll_frm_tassel</t>
  </si>
  <si>
    <t>stay_green</t>
  </si>
  <si>
    <t>lm_min</t>
  </si>
  <si>
    <t>rrrm</t>
  </si>
  <si>
    <t>rrry</t>
  </si>
  <si>
    <t>rvrl</t>
  </si>
  <si>
    <t>alpm</t>
  </si>
  <si>
    <t>alpy</t>
  </si>
  <si>
    <t>rtwl</t>
  </si>
  <si>
    <t>rt_min_wt_per_area</t>
  </si>
  <si>
    <t>l_up_w</t>
  </si>
  <si>
    <t>diff_z</t>
  </si>
  <si>
    <t>diff_x</t>
  </si>
  <si>
    <t>vel_z</t>
  </si>
  <si>
    <t>i_sink</t>
  </si>
  <si>
    <t>r_root</t>
  </si>
  <si>
    <t>cmin0_m</t>
  </si>
  <si>
    <t>const_k_y</t>
  </si>
  <si>
    <t>cmin0_y</t>
  </si>
  <si>
    <t>carb_mass</t>
  </si>
  <si>
    <t>cell_mass</t>
  </si>
  <si>
    <t>lign_mass</t>
  </si>
  <si>
    <t>carb_n_mass</t>
  </si>
  <si>
    <t>cell_n_mass</t>
  </si>
  <si>
    <t>lign_n_mass</t>
  </si>
  <si>
    <t>carb_decomp</t>
  </si>
  <si>
    <t>cell_decomp</t>
  </si>
  <si>
    <t>lign_decomp</t>
  </si>
  <si>
    <t>contact_fraction</t>
  </si>
  <si>
    <t>min_hori_size</t>
  </si>
  <si>
    <t>diffusion_restriction</t>
  </si>
  <si>
    <t>decomposition_ctrl</t>
  </si>
  <si>
    <t>omega</t>
  </si>
  <si>
    <t>maxstep_in_picard_iteration</t>
  </si>
  <si>
    <t>tolerance_head</t>
  </si>
  <si>
    <t>max_it</t>
  </si>
  <si>
    <t>tol_th</t>
  </si>
  <si>
    <t>tol_h</t>
  </si>
  <si>
    <t>h_crit_a</t>
  </si>
  <si>
    <t>h_crit_s</t>
  </si>
  <si>
    <t>dt_mx</t>
  </si>
  <si>
    <t>epsi_heat</t>
  </si>
  <si>
    <t>epsi_solute</t>
  </si>
  <si>
    <t>mulch_geo</t>
  </si>
  <si>
    <t>days_before_planting</t>
  </si>
  <si>
    <t>weather_daily</t>
  </si>
  <si>
    <t>weather_hourly</t>
  </si>
  <si>
    <t>run_to_end</t>
  </si>
  <si>
    <t>start_date</t>
  </si>
  <si>
    <t>end_date</t>
  </si>
  <si>
    <t>b_tort</t>
  </si>
  <si>
    <t>e_rain</t>
  </si>
  <si>
    <t>henry_gas(mol/l_atm)</t>
  </si>
  <si>
    <t>auto_irrigated</t>
  </si>
  <si>
    <t>auto_Irrig_rate(cm/d)</t>
  </si>
  <si>
    <t>vertical_layers</t>
  </si>
  <si>
    <t>type(t_or_m)</t>
  </si>
  <si>
    <t>long_wave_radiation_ctrl</t>
  </si>
  <si>
    <t>delta_r_short</t>
  </si>
  <si>
    <t>delta_r_long</t>
  </si>
  <si>
    <t>max_ponding_depth</t>
  </si>
  <si>
    <t>variety_file</t>
  </si>
  <si>
    <t>const_i_m</t>
  </si>
  <si>
    <t>const_k_m</t>
  </si>
  <si>
    <t>const_i_y</t>
  </si>
  <si>
    <t>h_tab_n</t>
  </si>
  <si>
    <t>h_tab_1</t>
  </si>
  <si>
    <t>diffusion_coeff(cm2/day)</t>
  </si>
  <si>
    <t>rate(t/ha_or_cm)</t>
  </si>
  <si>
    <t>no3(ppm)</t>
  </si>
  <si>
    <t>om(%/100)</t>
  </si>
  <si>
    <t>thm</t>
  </si>
  <si>
    <t>RHR</t>
  </si>
  <si>
    <t>rhr2016</t>
  </si>
  <si>
    <t>rhr2017</t>
  </si>
  <si>
    <t>rhr2018</t>
  </si>
  <si>
    <t>rhr2019</t>
  </si>
  <si>
    <t>rhr2020</t>
  </si>
  <si>
    <t>rhr2021</t>
  </si>
  <si>
    <t>rhr2009</t>
  </si>
  <si>
    <t>rhr2010</t>
  </si>
  <si>
    <t>rhr2011</t>
  </si>
  <si>
    <t>rhr2012</t>
  </si>
  <si>
    <t>rhr2013</t>
  </si>
  <si>
    <t>rhr2014</t>
  </si>
  <si>
    <t>rhr2015</t>
  </si>
  <si>
    <t>MRS</t>
  </si>
  <si>
    <t>mrs2009</t>
  </si>
  <si>
    <t>mrs2010</t>
  </si>
  <si>
    <t>mrs2011</t>
  </si>
  <si>
    <t>mrs2012</t>
  </si>
  <si>
    <t>mrs2013</t>
  </si>
  <si>
    <t>mrs2014</t>
  </si>
  <si>
    <t>mrs2015</t>
  </si>
  <si>
    <t>mrs2016</t>
  </si>
  <si>
    <t>mrs2017</t>
  </si>
  <si>
    <t>mrs2018</t>
  </si>
  <si>
    <t>mrs2019</t>
  </si>
  <si>
    <t>mrs2020</t>
  </si>
  <si>
    <t>mrs2021</t>
  </si>
  <si>
    <t>Rahuri_16</t>
  </si>
  <si>
    <t>DKC68-51</t>
  </si>
  <si>
    <t>Rahuri_soil_16</t>
  </si>
  <si>
    <t>Rahuri_soil_16.soi</t>
  </si>
  <si>
    <t>Rahuri.wea</t>
  </si>
  <si>
    <t>RahurClimatei.dat</t>
  </si>
  <si>
    <t>Rahuri</t>
  </si>
  <si>
    <t>Rahuri.nit</t>
  </si>
  <si>
    <t>Rahuri_17</t>
  </si>
  <si>
    <t>Rahuri_soil_17</t>
  </si>
  <si>
    <t>Rahuri_soil_17.soi</t>
  </si>
  <si>
    <t>Rahuri_18</t>
  </si>
  <si>
    <t>Rahuri_soil_18</t>
  </si>
  <si>
    <t>Rahuri_soil_18.soi</t>
  </si>
  <si>
    <t>Rahuri_19</t>
  </si>
  <si>
    <t>Rahuri_soil_19</t>
  </si>
  <si>
    <t>Rahuri_soil_19.soi</t>
  </si>
  <si>
    <t>Rahuri_20</t>
  </si>
  <si>
    <t>Rahuri_soil_20</t>
  </si>
  <si>
    <t>Rahuri_soil_20.soi</t>
  </si>
  <si>
    <t>Rahuri_21</t>
  </si>
  <si>
    <t>Rahuri_soil_21</t>
  </si>
  <si>
    <t>Rahuri_soil_21.soi</t>
  </si>
  <si>
    <t>Rahuri_09</t>
  </si>
  <si>
    <t>Rahuri_soil_09</t>
  </si>
  <si>
    <t>Rahuri_soil_09.soi</t>
  </si>
  <si>
    <t>Rahuri_10</t>
  </si>
  <si>
    <t>Rahuri_soil_10</t>
  </si>
  <si>
    <t>Rahuri_soil_10.soi</t>
  </si>
  <si>
    <t>Rahuri_11</t>
  </si>
  <si>
    <t>Rahuri_soil_11</t>
  </si>
  <si>
    <t>Rahuri_soil_11.soi</t>
  </si>
  <si>
    <t>Rahuri_12</t>
  </si>
  <si>
    <t>Rahuri_soil_12</t>
  </si>
  <si>
    <t>Rahuri_soil_12.soi</t>
  </si>
  <si>
    <t>Rahuri_13</t>
  </si>
  <si>
    <t>Rahuri_soil_13</t>
  </si>
  <si>
    <t>Rahuri_soil_13.soi</t>
  </si>
  <si>
    <t>Rahuri_14</t>
  </si>
  <si>
    <t>Rahuri_soil_14</t>
  </si>
  <si>
    <t>Rahuri_soil_14.soi</t>
  </si>
  <si>
    <t>Rahuri_15</t>
  </si>
  <si>
    <t>Rahuri_soil_15</t>
  </si>
  <si>
    <t>Rahuri_soil_15.soi</t>
  </si>
  <si>
    <t>Marshall_09</t>
  </si>
  <si>
    <t>DKC68-50</t>
  </si>
  <si>
    <t>Marshall_soil_09</t>
  </si>
  <si>
    <t>Marshall_soil_09.soi</t>
  </si>
  <si>
    <t>Marshall.wea</t>
  </si>
  <si>
    <t>MarshallClimate.dat</t>
  </si>
  <si>
    <t>Marshall</t>
  </si>
  <si>
    <t>Marshall.nit</t>
  </si>
  <si>
    <t>Marshall_10</t>
  </si>
  <si>
    <t>Marshall_soil_10</t>
  </si>
  <si>
    <t>Marshall_soil_10.soi</t>
  </si>
  <si>
    <t>Marshall_11</t>
  </si>
  <si>
    <t>Marshall_soil_11</t>
  </si>
  <si>
    <t>Marshall_soil_11.soi</t>
  </si>
  <si>
    <t>Marshall_12</t>
  </si>
  <si>
    <t>Marshall_soil_12</t>
  </si>
  <si>
    <t>Marshall_soil_12.soi</t>
  </si>
  <si>
    <t>Marshall_13</t>
  </si>
  <si>
    <t>Marshall_soil_13</t>
  </si>
  <si>
    <t>Marshall_soil_13.soi</t>
  </si>
  <si>
    <t>Marshall_14</t>
  </si>
  <si>
    <t>Marshall_soil_14</t>
  </si>
  <si>
    <t>Marshall_soil_14.soi</t>
  </si>
  <si>
    <t>Marshall_15</t>
  </si>
  <si>
    <t>Marshall_soil_15</t>
  </si>
  <si>
    <t>Marshall_soil_15.soi</t>
  </si>
  <si>
    <t>Marshall_16</t>
  </si>
  <si>
    <t>Marshall_soil_16</t>
  </si>
  <si>
    <t>Marshall_soil_16.soi</t>
  </si>
  <si>
    <t>Marshall_17</t>
  </si>
  <si>
    <t>Marshall_soil_17</t>
  </si>
  <si>
    <t>Marshall_soil_17.soi</t>
  </si>
  <si>
    <t>Marshall_18</t>
  </si>
  <si>
    <t>Marshall_soil_18</t>
  </si>
  <si>
    <t>Marshall_soil_18.soi</t>
  </si>
  <si>
    <t>Marshall_19</t>
  </si>
  <si>
    <t>Marshall_soil_19</t>
  </si>
  <si>
    <t>Marshall_soil_19.soi</t>
  </si>
  <si>
    <t>Marshall_20</t>
  </si>
  <si>
    <t>Marshall_soil_20</t>
  </si>
  <si>
    <t>Marshall_soil_20.soi</t>
  </si>
  <si>
    <t>Marshall_21</t>
  </si>
  <si>
    <t>Marshall_soil_21</t>
  </si>
  <si>
    <t>Marshall_soil_21.soi</t>
  </si>
  <si>
    <t>w</t>
  </si>
  <si>
    <t xml:space="preserve">DKC68-50 </t>
  </si>
  <si>
    <t>Temperate_Tropical_Weather.csv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</si>
</sst>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h:mm;@"/>
  </numFmts>
  <fonts count="1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0" fontId="9" fillId="0" borderId="0"/>
    <xf numFmtId="0" fontId="11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0" fillId="2" borderId="0" xfId="0" applyFill="1"/>
    <xf numFmtId="2" fontId="0" fillId="2" borderId="0" xfId="0" applyNumberFormat="1" applyFill="1"/>
    <xf numFmtId="0" fontId="4" fillId="2" borderId="2" xfId="0" applyFont="1" applyFill="1" applyBorder="1" applyAlignment="1">
      <alignment horizontal="center" vertical="center"/>
    </xf>
    <xf numFmtId="0" fontId="7" fillId="0" borderId="0" xfId="0" applyFont="1"/>
    <xf numFmtId="2" fontId="7" fillId="0" borderId="0" xfId="0" applyNumberFormat="1" applyFont="1"/>
    <xf numFmtId="0" fontId="8" fillId="0" borderId="1" xfId="0" applyFont="1" applyBorder="1" applyAlignment="1">
      <alignment horizontal="center" vertical="center"/>
    </xf>
    <xf numFmtId="14" fontId="7" fillId="0" borderId="0" xfId="0" applyNumberFormat="1" applyFont="1"/>
    <xf numFmtId="166" fontId="0" fillId="0" borderId="0" xfId="0" applyNumberFormat="1"/>
    <xf numFmtId="0" fontId="9" fillId="0" borderId="0" xfId="1"/>
    <xf numFmtId="1" fontId="0" fillId="0" borderId="0" xfId="0" applyNumberFormat="1"/>
    <xf numFmtId="1" fontId="3" fillId="0" borderId="0" xfId="0" applyNumberFormat="1" applyFont="1"/>
    <xf numFmtId="0" fontId="12" fillId="0" borderId="0" xfId="0" applyFont="1" applyAlignment="1">
      <alignment vertical="center"/>
    </xf>
    <xf numFmtId="0" fontId="0" fillId="3" borderId="0" xfId="0" applyFill="1"/>
    <xf numFmtId="11" fontId="0" fillId="3" borderId="0" xfId="0" applyNumberFormat="1" applyFill="1"/>
    <xf numFmtId="2" fontId="0" fillId="3" borderId="0" xfId="0" applyNumberFormat="1" applyFill="1" applyAlignment="1">
      <alignment horizontal="center" wrapText="1"/>
    </xf>
    <xf numFmtId="0" fontId="0" fillId="3" borderId="0" xfId="0" applyFill="1" applyAlignment="1">
      <alignment horizontal="center"/>
    </xf>
    <xf numFmtId="14" fontId="0" fillId="3" borderId="0" xfId="0" applyNumberFormat="1" applyFill="1"/>
    <xf numFmtId="0" fontId="13" fillId="3" borderId="3" xfId="0" applyFont="1" applyFill="1" applyBorder="1" applyAlignment="1">
      <alignment horizontal="right" wrapText="1" readingOrder="1"/>
    </xf>
    <xf numFmtId="0" fontId="13" fillId="0" borderId="3" xfId="0" applyFont="1" applyBorder="1" applyAlignment="1">
      <alignment horizontal="right" wrapText="1" readingOrder="1"/>
    </xf>
  </cellXfs>
  <cellStyles count="3">
    <cellStyle name="Normal" xfId="0" builtinId="0"/>
    <cellStyle name="Normal 2" xfId="1" xr:uid="{BAF08A1B-EDCE-4C7E-8A95-93B96B9D80CF}"/>
    <cellStyle name="Normal 2 2" xfId="2" xr:uid="{A35EEB8D-2EC5-4D3B-9789-ABB170147FEF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Medium9">
    <tableStyle name="Invisible" pivot="0" table="0" count="0" xr9:uid="{3E97CEA8-BAD4-46EE-8B57-316ABEAFB5E3}"/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7"/>
  <sheetViews>
    <sheetView topLeftCell="J1" zoomScale="115" zoomScaleNormal="115" workbookViewId="0">
      <selection activeCell="L33" sqref="L33"/>
    </sheetView>
  </sheetViews>
  <sheetFormatPr defaultRowHeight="15" x14ac:dyDescent="0.25"/>
  <cols>
    <col min="1" max="2" width="10.28515625" customWidth="1"/>
    <col min="3" max="3" width="17.140625" customWidth="1"/>
    <col min="4" max="5" width="19.140625" customWidth="1"/>
    <col min="6" max="6" width="16.140625" customWidth="1"/>
    <col min="7" max="7" width="21.42578125" customWidth="1"/>
    <col min="8" max="8" width="25" customWidth="1"/>
    <col min="9" max="9" width="19.140625" customWidth="1"/>
    <col min="10" max="10" width="12.42578125" customWidth="1"/>
    <col min="11" max="11" width="16" customWidth="1"/>
    <col min="12" max="12" width="18.140625" customWidth="1"/>
    <col min="14" max="14" width="14.140625" customWidth="1"/>
    <col min="15" max="15" width="18.7109375" customWidth="1"/>
    <col min="17" max="20" width="17.42578125" customWidth="1"/>
    <col min="24" max="24" width="9.7109375" bestFit="1" customWidth="1"/>
  </cols>
  <sheetData>
    <row r="1" spans="1:23" x14ac:dyDescent="0.25">
      <c r="A1" t="s">
        <v>49</v>
      </c>
      <c r="B1" t="s">
        <v>60</v>
      </c>
      <c r="C1" t="s">
        <v>65</v>
      </c>
      <c r="D1" t="s">
        <v>236</v>
      </c>
      <c r="E1" t="s">
        <v>66</v>
      </c>
      <c r="F1" t="s">
        <v>67</v>
      </c>
      <c r="G1" t="s">
        <v>68</v>
      </c>
      <c r="H1" t="s">
        <v>69</v>
      </c>
      <c r="I1" t="s">
        <v>61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218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</row>
    <row r="3" spans="1:23" x14ac:dyDescent="0.25">
      <c r="A3" s="20" t="s">
        <v>275</v>
      </c>
      <c r="B3" s="20" t="s">
        <v>248</v>
      </c>
      <c r="C3" s="20" t="s">
        <v>276</v>
      </c>
      <c r="D3" s="20" t="str">
        <f t="shared" ref="D3:D15" si="0">C3 &amp; ".var"</f>
        <v>DKC68-51.var</v>
      </c>
      <c r="E3" s="20" t="s">
        <v>277</v>
      </c>
      <c r="F3" s="20" t="s">
        <v>278</v>
      </c>
      <c r="G3" s="20" t="s">
        <v>279</v>
      </c>
      <c r="H3" s="20" t="s">
        <v>280</v>
      </c>
      <c r="I3" s="20" t="s">
        <v>281</v>
      </c>
      <c r="J3" s="20" t="s">
        <v>247</v>
      </c>
      <c r="K3" s="20" t="s">
        <v>282</v>
      </c>
      <c r="L3" s="20" t="s">
        <v>22</v>
      </c>
      <c r="M3" s="20" t="s">
        <v>275</v>
      </c>
      <c r="N3" s="20" t="s">
        <v>24</v>
      </c>
      <c r="O3" s="20" t="s">
        <v>38</v>
      </c>
      <c r="P3" s="20" t="s">
        <v>36</v>
      </c>
      <c r="Q3" s="20" t="s">
        <v>46</v>
      </c>
      <c r="R3" s="20" t="s">
        <v>39</v>
      </c>
      <c r="S3" s="20" t="s">
        <v>45</v>
      </c>
      <c r="T3" s="20" t="s">
        <v>55</v>
      </c>
      <c r="U3" s="20" t="s">
        <v>44</v>
      </c>
      <c r="V3" s="20" t="s">
        <v>56</v>
      </c>
      <c r="W3" s="20"/>
    </row>
    <row r="4" spans="1:23" x14ac:dyDescent="0.25">
      <c r="A4" s="20" t="s">
        <v>283</v>
      </c>
      <c r="B4" s="20" t="s">
        <v>249</v>
      </c>
      <c r="C4" s="20" t="str">
        <f>C3</f>
        <v>DKC68-51</v>
      </c>
      <c r="D4" s="20" t="str">
        <f t="shared" si="0"/>
        <v>DKC68-51.var</v>
      </c>
      <c r="E4" s="20" t="s">
        <v>284</v>
      </c>
      <c r="F4" s="20" t="s">
        <v>285</v>
      </c>
      <c r="G4" s="20" t="s">
        <v>279</v>
      </c>
      <c r="H4" s="20" t="s">
        <v>280</v>
      </c>
      <c r="I4" s="20" t="s">
        <v>281</v>
      </c>
      <c r="J4" s="20" t="s">
        <v>247</v>
      </c>
      <c r="K4" s="20" t="s">
        <v>282</v>
      </c>
      <c r="L4" s="20" t="s">
        <v>22</v>
      </c>
      <c r="M4" s="20" t="s">
        <v>283</v>
      </c>
      <c r="N4" s="20" t="s">
        <v>24</v>
      </c>
      <c r="O4" s="20" t="s">
        <v>38</v>
      </c>
      <c r="P4" s="20" t="s">
        <v>36</v>
      </c>
      <c r="Q4" s="20" t="s">
        <v>46</v>
      </c>
      <c r="R4" s="20" t="s">
        <v>39</v>
      </c>
      <c r="S4" s="20" t="s">
        <v>45</v>
      </c>
      <c r="T4" s="20" t="s">
        <v>55</v>
      </c>
      <c r="U4" s="20" t="s">
        <v>44</v>
      </c>
      <c r="V4" s="20" t="s">
        <v>56</v>
      </c>
      <c r="W4" s="20"/>
    </row>
    <row r="5" spans="1:23" x14ac:dyDescent="0.25">
      <c r="A5" s="20" t="s">
        <v>286</v>
      </c>
      <c r="B5" s="20" t="s">
        <v>250</v>
      </c>
      <c r="C5" s="20" t="str">
        <f t="shared" ref="C5:C15" si="1">C4</f>
        <v>DKC68-51</v>
      </c>
      <c r="D5" s="20" t="str">
        <f t="shared" si="0"/>
        <v>DKC68-51.var</v>
      </c>
      <c r="E5" s="20" t="s">
        <v>287</v>
      </c>
      <c r="F5" s="20" t="s">
        <v>288</v>
      </c>
      <c r="G5" s="20" t="s">
        <v>279</v>
      </c>
      <c r="H5" s="20" t="s">
        <v>280</v>
      </c>
      <c r="I5" s="20" t="s">
        <v>281</v>
      </c>
      <c r="J5" s="20" t="s">
        <v>247</v>
      </c>
      <c r="K5" s="20" t="s">
        <v>282</v>
      </c>
      <c r="L5" s="20" t="s">
        <v>22</v>
      </c>
      <c r="M5" s="20" t="s">
        <v>286</v>
      </c>
      <c r="N5" s="20" t="s">
        <v>24</v>
      </c>
      <c r="O5" s="20" t="s">
        <v>38</v>
      </c>
      <c r="P5" s="20" t="s">
        <v>36</v>
      </c>
      <c r="Q5" s="20" t="s">
        <v>46</v>
      </c>
      <c r="R5" s="20" t="s">
        <v>39</v>
      </c>
      <c r="S5" s="20" t="s">
        <v>45</v>
      </c>
      <c r="T5" s="20" t="s">
        <v>55</v>
      </c>
      <c r="U5" s="20" t="s">
        <v>44</v>
      </c>
      <c r="V5" s="20" t="s">
        <v>56</v>
      </c>
      <c r="W5" s="20"/>
    </row>
    <row r="6" spans="1:23" x14ac:dyDescent="0.25">
      <c r="A6" s="20" t="s">
        <v>289</v>
      </c>
      <c r="B6" s="20" t="s">
        <v>251</v>
      </c>
      <c r="C6" s="20" t="str">
        <f t="shared" si="1"/>
        <v>DKC68-51</v>
      </c>
      <c r="D6" s="20" t="str">
        <f t="shared" si="0"/>
        <v>DKC68-51.var</v>
      </c>
      <c r="E6" s="20" t="s">
        <v>290</v>
      </c>
      <c r="F6" s="20" t="s">
        <v>291</v>
      </c>
      <c r="G6" s="20" t="s">
        <v>279</v>
      </c>
      <c r="H6" s="20" t="s">
        <v>280</v>
      </c>
      <c r="I6" s="20" t="s">
        <v>281</v>
      </c>
      <c r="J6" s="20" t="s">
        <v>247</v>
      </c>
      <c r="K6" s="20" t="s">
        <v>282</v>
      </c>
      <c r="L6" s="20" t="s">
        <v>22</v>
      </c>
      <c r="M6" s="20" t="s">
        <v>289</v>
      </c>
      <c r="N6" s="20" t="s">
        <v>24</v>
      </c>
      <c r="O6" s="20" t="s">
        <v>38</v>
      </c>
      <c r="P6" s="20" t="s">
        <v>36</v>
      </c>
      <c r="Q6" s="20" t="s">
        <v>46</v>
      </c>
      <c r="R6" s="20" t="s">
        <v>39</v>
      </c>
      <c r="S6" s="20" t="s">
        <v>45</v>
      </c>
      <c r="T6" s="20" t="s">
        <v>55</v>
      </c>
      <c r="U6" s="20" t="s">
        <v>44</v>
      </c>
      <c r="V6" s="20" t="s">
        <v>56</v>
      </c>
      <c r="W6" s="20"/>
    </row>
    <row r="7" spans="1:23" x14ac:dyDescent="0.25">
      <c r="A7" s="20" t="s">
        <v>292</v>
      </c>
      <c r="B7" s="20" t="s">
        <v>252</v>
      </c>
      <c r="C7" s="20" t="str">
        <f t="shared" si="1"/>
        <v>DKC68-51</v>
      </c>
      <c r="D7" s="20" t="str">
        <f t="shared" si="0"/>
        <v>DKC68-51.var</v>
      </c>
      <c r="E7" s="20" t="s">
        <v>293</v>
      </c>
      <c r="F7" s="20" t="s">
        <v>294</v>
      </c>
      <c r="G7" s="20" t="s">
        <v>279</v>
      </c>
      <c r="H7" s="20" t="s">
        <v>280</v>
      </c>
      <c r="I7" s="20" t="s">
        <v>281</v>
      </c>
      <c r="J7" s="20" t="s">
        <v>247</v>
      </c>
      <c r="K7" s="20" t="s">
        <v>282</v>
      </c>
      <c r="L7" s="20" t="s">
        <v>22</v>
      </c>
      <c r="M7" s="20" t="s">
        <v>292</v>
      </c>
      <c r="N7" s="20" t="s">
        <v>24</v>
      </c>
      <c r="O7" s="20" t="s">
        <v>38</v>
      </c>
      <c r="P7" s="20" t="s">
        <v>36</v>
      </c>
      <c r="Q7" s="20" t="s">
        <v>46</v>
      </c>
      <c r="R7" s="20" t="s">
        <v>39</v>
      </c>
      <c r="S7" s="20" t="s">
        <v>45</v>
      </c>
      <c r="T7" s="20" t="s">
        <v>55</v>
      </c>
      <c r="U7" s="20" t="s">
        <v>44</v>
      </c>
      <c r="V7" s="20" t="s">
        <v>56</v>
      </c>
      <c r="W7" s="20"/>
    </row>
    <row r="8" spans="1:23" x14ac:dyDescent="0.25">
      <c r="A8" s="20" t="s">
        <v>295</v>
      </c>
      <c r="B8" s="20" t="s">
        <v>253</v>
      </c>
      <c r="C8" s="20" t="str">
        <f t="shared" si="1"/>
        <v>DKC68-51</v>
      </c>
      <c r="D8" s="20" t="str">
        <f t="shared" si="0"/>
        <v>DKC68-51.var</v>
      </c>
      <c r="E8" s="20" t="s">
        <v>296</v>
      </c>
      <c r="F8" s="20" t="s">
        <v>297</v>
      </c>
      <c r="G8" s="20" t="s">
        <v>279</v>
      </c>
      <c r="H8" s="20" t="s">
        <v>280</v>
      </c>
      <c r="I8" s="20" t="s">
        <v>281</v>
      </c>
      <c r="J8" s="20" t="s">
        <v>247</v>
      </c>
      <c r="K8" s="20" t="s">
        <v>282</v>
      </c>
      <c r="L8" s="20" t="s">
        <v>22</v>
      </c>
      <c r="M8" s="20" t="s">
        <v>295</v>
      </c>
      <c r="N8" s="20" t="s">
        <v>24</v>
      </c>
      <c r="O8" s="20" t="s">
        <v>38</v>
      </c>
      <c r="P8" s="20" t="s">
        <v>36</v>
      </c>
      <c r="Q8" s="20" t="s">
        <v>46</v>
      </c>
      <c r="R8" s="20" t="s">
        <v>39</v>
      </c>
      <c r="S8" s="20" t="s">
        <v>45</v>
      </c>
      <c r="T8" s="20" t="s">
        <v>55</v>
      </c>
      <c r="U8" s="20" t="s">
        <v>44</v>
      </c>
      <c r="V8" s="20" t="s">
        <v>56</v>
      </c>
      <c r="W8" s="20"/>
    </row>
    <row r="9" spans="1:23" x14ac:dyDescent="0.25">
      <c r="A9" s="20" t="s">
        <v>298</v>
      </c>
      <c r="B9" s="20" t="s">
        <v>254</v>
      </c>
      <c r="C9" s="20" t="str">
        <f t="shared" si="1"/>
        <v>DKC68-51</v>
      </c>
      <c r="D9" s="20" t="str">
        <f t="shared" si="0"/>
        <v>DKC68-51.var</v>
      </c>
      <c r="E9" s="20" t="s">
        <v>299</v>
      </c>
      <c r="F9" s="20" t="s">
        <v>300</v>
      </c>
      <c r="G9" s="20" t="s">
        <v>279</v>
      </c>
      <c r="H9" s="20" t="s">
        <v>280</v>
      </c>
      <c r="I9" s="20" t="s">
        <v>281</v>
      </c>
      <c r="J9" s="20" t="s">
        <v>247</v>
      </c>
      <c r="K9" s="20" t="s">
        <v>282</v>
      </c>
      <c r="L9" s="20" t="s">
        <v>22</v>
      </c>
      <c r="M9" s="20" t="s">
        <v>298</v>
      </c>
      <c r="N9" s="20" t="s">
        <v>24</v>
      </c>
      <c r="O9" s="20" t="s">
        <v>38</v>
      </c>
      <c r="P9" s="20" t="s">
        <v>36</v>
      </c>
      <c r="Q9" s="20" t="s">
        <v>46</v>
      </c>
      <c r="R9" s="20" t="s">
        <v>39</v>
      </c>
      <c r="S9" s="20" t="s">
        <v>45</v>
      </c>
      <c r="T9" s="20" t="s">
        <v>55</v>
      </c>
      <c r="U9" s="20" t="s">
        <v>44</v>
      </c>
      <c r="V9" s="20" t="s">
        <v>56</v>
      </c>
      <c r="W9" s="20"/>
    </row>
    <row r="10" spans="1:23" x14ac:dyDescent="0.25">
      <c r="A10" s="20" t="s">
        <v>301</v>
      </c>
      <c r="B10" s="20" t="s">
        <v>255</v>
      </c>
      <c r="C10" s="20" t="str">
        <f t="shared" si="1"/>
        <v>DKC68-51</v>
      </c>
      <c r="D10" s="20" t="str">
        <f t="shared" si="0"/>
        <v>DKC68-51.var</v>
      </c>
      <c r="E10" s="20" t="s">
        <v>302</v>
      </c>
      <c r="F10" s="20" t="s">
        <v>303</v>
      </c>
      <c r="G10" s="20" t="s">
        <v>279</v>
      </c>
      <c r="H10" s="20" t="s">
        <v>280</v>
      </c>
      <c r="I10" s="20" t="s">
        <v>281</v>
      </c>
      <c r="J10" s="20" t="s">
        <v>247</v>
      </c>
      <c r="K10" s="20" t="s">
        <v>282</v>
      </c>
      <c r="L10" s="20" t="s">
        <v>22</v>
      </c>
      <c r="M10" s="20" t="s">
        <v>301</v>
      </c>
      <c r="N10" s="20" t="s">
        <v>24</v>
      </c>
      <c r="O10" s="20" t="s">
        <v>38</v>
      </c>
      <c r="P10" s="20" t="s">
        <v>36</v>
      </c>
      <c r="Q10" s="20" t="s">
        <v>46</v>
      </c>
      <c r="R10" s="20" t="s">
        <v>39</v>
      </c>
      <c r="S10" s="20" t="s">
        <v>45</v>
      </c>
      <c r="T10" s="20" t="s">
        <v>55</v>
      </c>
      <c r="U10" s="20" t="s">
        <v>44</v>
      </c>
      <c r="V10" s="20" t="s">
        <v>56</v>
      </c>
      <c r="W10" s="20"/>
    </row>
    <row r="11" spans="1:23" x14ac:dyDescent="0.25">
      <c r="A11" s="20" t="s">
        <v>304</v>
      </c>
      <c r="B11" s="20" t="s">
        <v>256</v>
      </c>
      <c r="C11" s="20" t="str">
        <f t="shared" si="1"/>
        <v>DKC68-51</v>
      </c>
      <c r="D11" s="20" t="str">
        <f t="shared" si="0"/>
        <v>DKC68-51.var</v>
      </c>
      <c r="E11" s="20" t="s">
        <v>305</v>
      </c>
      <c r="F11" s="20" t="s">
        <v>306</v>
      </c>
      <c r="G11" s="20" t="s">
        <v>279</v>
      </c>
      <c r="H11" s="20" t="s">
        <v>280</v>
      </c>
      <c r="I11" s="20" t="s">
        <v>281</v>
      </c>
      <c r="J11" s="20" t="s">
        <v>247</v>
      </c>
      <c r="K11" s="20" t="s">
        <v>282</v>
      </c>
      <c r="L11" s="20" t="s">
        <v>22</v>
      </c>
      <c r="M11" s="20" t="s">
        <v>304</v>
      </c>
      <c r="N11" s="20" t="s">
        <v>24</v>
      </c>
      <c r="O11" s="20" t="s">
        <v>38</v>
      </c>
      <c r="P11" s="20" t="s">
        <v>36</v>
      </c>
      <c r="Q11" s="20" t="s">
        <v>46</v>
      </c>
      <c r="R11" s="20" t="s">
        <v>39</v>
      </c>
      <c r="S11" s="20" t="s">
        <v>45</v>
      </c>
      <c r="T11" s="20" t="s">
        <v>55</v>
      </c>
      <c r="U11" s="20" t="s">
        <v>44</v>
      </c>
      <c r="V11" s="20" t="s">
        <v>56</v>
      </c>
      <c r="W11" s="20"/>
    </row>
    <row r="12" spans="1:23" x14ac:dyDescent="0.25">
      <c r="A12" s="20" t="s">
        <v>307</v>
      </c>
      <c r="B12" s="20" t="s">
        <v>257</v>
      </c>
      <c r="C12" s="20" t="str">
        <f t="shared" si="1"/>
        <v>DKC68-51</v>
      </c>
      <c r="D12" s="20" t="str">
        <f t="shared" si="0"/>
        <v>DKC68-51.var</v>
      </c>
      <c r="E12" s="20" t="s">
        <v>308</v>
      </c>
      <c r="F12" s="20" t="s">
        <v>309</v>
      </c>
      <c r="G12" s="20" t="s">
        <v>279</v>
      </c>
      <c r="H12" s="20" t="s">
        <v>280</v>
      </c>
      <c r="I12" s="20" t="s">
        <v>281</v>
      </c>
      <c r="J12" s="20" t="s">
        <v>247</v>
      </c>
      <c r="K12" s="20" t="s">
        <v>282</v>
      </c>
      <c r="L12" s="20" t="s">
        <v>22</v>
      </c>
      <c r="M12" s="20" t="s">
        <v>307</v>
      </c>
      <c r="N12" s="20" t="s">
        <v>24</v>
      </c>
      <c r="O12" s="20" t="s">
        <v>38</v>
      </c>
      <c r="P12" s="20" t="s">
        <v>36</v>
      </c>
      <c r="Q12" s="20" t="s">
        <v>46</v>
      </c>
      <c r="R12" s="20" t="s">
        <v>39</v>
      </c>
      <c r="S12" s="20" t="s">
        <v>45</v>
      </c>
      <c r="T12" s="20" t="s">
        <v>55</v>
      </c>
      <c r="U12" s="20" t="s">
        <v>44</v>
      </c>
      <c r="V12" s="20" t="s">
        <v>56</v>
      </c>
      <c r="W12" s="20"/>
    </row>
    <row r="13" spans="1:23" x14ac:dyDescent="0.25">
      <c r="A13" s="20" t="s">
        <v>310</v>
      </c>
      <c r="B13" s="20" t="s">
        <v>258</v>
      </c>
      <c r="C13" s="20" t="str">
        <f t="shared" si="1"/>
        <v>DKC68-51</v>
      </c>
      <c r="D13" s="20" t="str">
        <f t="shared" si="0"/>
        <v>DKC68-51.var</v>
      </c>
      <c r="E13" s="20" t="s">
        <v>311</v>
      </c>
      <c r="F13" s="20" t="s">
        <v>312</v>
      </c>
      <c r="G13" s="20" t="s">
        <v>279</v>
      </c>
      <c r="H13" s="20" t="s">
        <v>280</v>
      </c>
      <c r="I13" s="20" t="s">
        <v>281</v>
      </c>
      <c r="J13" s="20" t="s">
        <v>247</v>
      </c>
      <c r="K13" s="20" t="s">
        <v>282</v>
      </c>
      <c r="L13" s="20" t="s">
        <v>22</v>
      </c>
      <c r="M13" s="20" t="s">
        <v>310</v>
      </c>
      <c r="N13" s="20" t="s">
        <v>24</v>
      </c>
      <c r="O13" s="20" t="s">
        <v>38</v>
      </c>
      <c r="P13" s="20" t="s">
        <v>36</v>
      </c>
      <c r="Q13" s="20" t="s">
        <v>46</v>
      </c>
      <c r="R13" s="20" t="s">
        <v>39</v>
      </c>
      <c r="S13" s="20" t="s">
        <v>45</v>
      </c>
      <c r="T13" s="20" t="s">
        <v>55</v>
      </c>
      <c r="U13" s="20" t="s">
        <v>44</v>
      </c>
      <c r="V13" s="20" t="s">
        <v>56</v>
      </c>
      <c r="W13" s="20"/>
    </row>
    <row r="14" spans="1:23" x14ac:dyDescent="0.25">
      <c r="A14" s="20" t="s">
        <v>313</v>
      </c>
      <c r="B14" s="20" t="s">
        <v>259</v>
      </c>
      <c r="C14" s="20" t="str">
        <f t="shared" si="1"/>
        <v>DKC68-51</v>
      </c>
      <c r="D14" s="20" t="str">
        <f t="shared" si="0"/>
        <v>DKC68-51.var</v>
      </c>
      <c r="E14" s="20" t="s">
        <v>314</v>
      </c>
      <c r="F14" s="20" t="s">
        <v>315</v>
      </c>
      <c r="G14" s="20" t="s">
        <v>279</v>
      </c>
      <c r="H14" s="20" t="s">
        <v>280</v>
      </c>
      <c r="I14" s="20" t="s">
        <v>281</v>
      </c>
      <c r="J14" s="20" t="s">
        <v>247</v>
      </c>
      <c r="K14" s="20" t="s">
        <v>282</v>
      </c>
      <c r="L14" s="20" t="s">
        <v>22</v>
      </c>
      <c r="M14" s="20" t="s">
        <v>313</v>
      </c>
      <c r="N14" s="20" t="s">
        <v>24</v>
      </c>
      <c r="O14" s="20" t="s">
        <v>38</v>
      </c>
      <c r="P14" s="20" t="s">
        <v>36</v>
      </c>
      <c r="Q14" s="20" t="s">
        <v>46</v>
      </c>
      <c r="R14" s="20" t="s">
        <v>39</v>
      </c>
      <c r="S14" s="20" t="s">
        <v>45</v>
      </c>
      <c r="T14" s="20" t="s">
        <v>55</v>
      </c>
      <c r="U14" s="20" t="s">
        <v>44</v>
      </c>
      <c r="V14" s="20" t="s">
        <v>56</v>
      </c>
      <c r="W14" s="20"/>
    </row>
    <row r="15" spans="1:23" x14ac:dyDescent="0.25">
      <c r="A15" s="20" t="s">
        <v>316</v>
      </c>
      <c r="B15" s="20" t="s">
        <v>260</v>
      </c>
      <c r="C15" s="20" t="str">
        <f t="shared" si="1"/>
        <v>DKC68-51</v>
      </c>
      <c r="D15" s="20" t="str">
        <f t="shared" si="0"/>
        <v>DKC68-51.var</v>
      </c>
      <c r="E15" s="20" t="s">
        <v>317</v>
      </c>
      <c r="F15" s="20" t="s">
        <v>318</v>
      </c>
      <c r="G15" s="20" t="s">
        <v>279</v>
      </c>
      <c r="H15" s="20" t="s">
        <v>280</v>
      </c>
      <c r="I15" s="20" t="s">
        <v>281</v>
      </c>
      <c r="J15" s="20" t="s">
        <v>247</v>
      </c>
      <c r="K15" s="20" t="s">
        <v>282</v>
      </c>
      <c r="L15" s="20" t="s">
        <v>22</v>
      </c>
      <c r="M15" s="20" t="s">
        <v>316</v>
      </c>
      <c r="N15" s="20" t="s">
        <v>24</v>
      </c>
      <c r="O15" s="20" t="s">
        <v>38</v>
      </c>
      <c r="P15" s="20" t="s">
        <v>36</v>
      </c>
      <c r="Q15" s="20" t="s">
        <v>46</v>
      </c>
      <c r="R15" s="20" t="s">
        <v>39</v>
      </c>
      <c r="S15" s="20" t="s">
        <v>45</v>
      </c>
      <c r="T15" s="20" t="s">
        <v>55</v>
      </c>
      <c r="U15" s="20" t="s">
        <v>44</v>
      </c>
      <c r="V15" s="20" t="s">
        <v>56</v>
      </c>
      <c r="W15" s="20"/>
    </row>
    <row r="17" spans="1:23" x14ac:dyDescent="0.25">
      <c r="A17" s="20" t="s">
        <v>319</v>
      </c>
      <c r="B17" s="20" t="s">
        <v>262</v>
      </c>
      <c r="C17" s="20" t="s">
        <v>320</v>
      </c>
      <c r="D17" s="20" t="str">
        <f t="shared" ref="D17:D29" si="2">C17 &amp; ".var"</f>
        <v>DKC68-50.var</v>
      </c>
      <c r="E17" s="20" t="s">
        <v>321</v>
      </c>
      <c r="F17" s="20" t="s">
        <v>322</v>
      </c>
      <c r="G17" s="20" t="s">
        <v>323</v>
      </c>
      <c r="H17" s="20" t="s">
        <v>324</v>
      </c>
      <c r="I17" s="20" t="s">
        <v>325</v>
      </c>
      <c r="J17" s="20" t="s">
        <v>261</v>
      </c>
      <c r="K17" s="20" t="s">
        <v>326</v>
      </c>
      <c r="L17" s="20" t="s">
        <v>22</v>
      </c>
      <c r="M17" s="20" t="s">
        <v>319</v>
      </c>
      <c r="N17" s="20" t="s">
        <v>24</v>
      </c>
      <c r="O17" s="20" t="s">
        <v>38</v>
      </c>
      <c r="P17" s="20" t="s">
        <v>36</v>
      </c>
      <c r="Q17" s="20" t="s">
        <v>46</v>
      </c>
      <c r="R17" s="20" t="s">
        <v>39</v>
      </c>
      <c r="S17" s="20" t="s">
        <v>45</v>
      </c>
      <c r="T17" s="20" t="s">
        <v>55</v>
      </c>
      <c r="U17" s="20" t="s">
        <v>44</v>
      </c>
      <c r="V17" s="20" t="s">
        <v>56</v>
      </c>
      <c r="W17" s="20"/>
    </row>
    <row r="18" spans="1:23" x14ac:dyDescent="0.25">
      <c r="A18" s="20" t="s">
        <v>327</v>
      </c>
      <c r="B18" s="20" t="s">
        <v>263</v>
      </c>
      <c r="C18" s="20" t="s">
        <v>320</v>
      </c>
      <c r="D18" s="20" t="str">
        <f t="shared" si="2"/>
        <v>DKC68-50.var</v>
      </c>
      <c r="E18" s="20" t="s">
        <v>328</v>
      </c>
      <c r="F18" s="20" t="s">
        <v>329</v>
      </c>
      <c r="G18" s="20" t="s">
        <v>323</v>
      </c>
      <c r="H18" s="20" t="s">
        <v>324</v>
      </c>
      <c r="I18" s="20" t="s">
        <v>325</v>
      </c>
      <c r="J18" s="20" t="s">
        <v>261</v>
      </c>
      <c r="K18" s="20" t="s">
        <v>326</v>
      </c>
      <c r="L18" s="20" t="s">
        <v>22</v>
      </c>
      <c r="M18" s="20" t="s">
        <v>327</v>
      </c>
      <c r="N18" s="20" t="s">
        <v>24</v>
      </c>
      <c r="O18" s="20" t="s">
        <v>38</v>
      </c>
      <c r="P18" s="20" t="s">
        <v>36</v>
      </c>
      <c r="Q18" s="20" t="s">
        <v>46</v>
      </c>
      <c r="R18" s="20" t="s">
        <v>39</v>
      </c>
      <c r="S18" s="20" t="s">
        <v>45</v>
      </c>
      <c r="T18" s="20" t="s">
        <v>55</v>
      </c>
      <c r="U18" s="20" t="s">
        <v>44</v>
      </c>
      <c r="V18" s="20" t="s">
        <v>56</v>
      </c>
      <c r="W18" s="20"/>
    </row>
    <row r="19" spans="1:23" x14ac:dyDescent="0.25">
      <c r="A19" s="20" t="s">
        <v>330</v>
      </c>
      <c r="B19" s="20" t="s">
        <v>264</v>
      </c>
      <c r="C19" s="20" t="s">
        <v>320</v>
      </c>
      <c r="D19" s="20" t="str">
        <f t="shared" si="2"/>
        <v>DKC68-50.var</v>
      </c>
      <c r="E19" s="20" t="s">
        <v>331</v>
      </c>
      <c r="F19" s="20" t="s">
        <v>332</v>
      </c>
      <c r="G19" s="20" t="s">
        <v>323</v>
      </c>
      <c r="H19" s="20" t="s">
        <v>324</v>
      </c>
      <c r="I19" s="20" t="s">
        <v>325</v>
      </c>
      <c r="J19" s="20" t="s">
        <v>261</v>
      </c>
      <c r="K19" s="20" t="s">
        <v>326</v>
      </c>
      <c r="L19" s="20" t="s">
        <v>22</v>
      </c>
      <c r="M19" s="20" t="s">
        <v>330</v>
      </c>
      <c r="N19" s="20" t="s">
        <v>24</v>
      </c>
      <c r="O19" s="20" t="s">
        <v>38</v>
      </c>
      <c r="P19" s="20" t="s">
        <v>36</v>
      </c>
      <c r="Q19" s="20" t="s">
        <v>46</v>
      </c>
      <c r="R19" s="20" t="s">
        <v>39</v>
      </c>
      <c r="S19" s="20" t="s">
        <v>45</v>
      </c>
      <c r="T19" s="20" t="s">
        <v>55</v>
      </c>
      <c r="U19" s="20" t="s">
        <v>44</v>
      </c>
      <c r="V19" s="20" t="s">
        <v>56</v>
      </c>
      <c r="W19" s="20"/>
    </row>
    <row r="20" spans="1:23" x14ac:dyDescent="0.25">
      <c r="A20" s="20" t="s">
        <v>333</v>
      </c>
      <c r="B20" s="20" t="s">
        <v>265</v>
      </c>
      <c r="C20" s="20" t="s">
        <v>320</v>
      </c>
      <c r="D20" s="20" t="str">
        <f t="shared" si="2"/>
        <v>DKC68-50.var</v>
      </c>
      <c r="E20" s="20" t="s">
        <v>334</v>
      </c>
      <c r="F20" s="20" t="s">
        <v>335</v>
      </c>
      <c r="G20" s="20" t="s">
        <v>323</v>
      </c>
      <c r="H20" s="20" t="s">
        <v>324</v>
      </c>
      <c r="I20" s="20" t="s">
        <v>325</v>
      </c>
      <c r="J20" s="20" t="s">
        <v>261</v>
      </c>
      <c r="K20" s="20" t="s">
        <v>326</v>
      </c>
      <c r="L20" s="20" t="s">
        <v>22</v>
      </c>
      <c r="M20" s="20" t="s">
        <v>333</v>
      </c>
      <c r="N20" s="20" t="s">
        <v>24</v>
      </c>
      <c r="O20" s="20" t="s">
        <v>38</v>
      </c>
      <c r="P20" s="20" t="s">
        <v>36</v>
      </c>
      <c r="Q20" s="20" t="s">
        <v>46</v>
      </c>
      <c r="R20" s="20" t="s">
        <v>39</v>
      </c>
      <c r="S20" s="20" t="s">
        <v>45</v>
      </c>
      <c r="T20" s="20" t="s">
        <v>55</v>
      </c>
      <c r="U20" s="20" t="s">
        <v>44</v>
      </c>
      <c r="V20" s="20" t="s">
        <v>56</v>
      </c>
      <c r="W20" s="20"/>
    </row>
    <row r="21" spans="1:23" x14ac:dyDescent="0.25">
      <c r="A21" s="20" t="s">
        <v>336</v>
      </c>
      <c r="B21" s="20" t="s">
        <v>266</v>
      </c>
      <c r="C21" s="20" t="s">
        <v>320</v>
      </c>
      <c r="D21" s="20" t="str">
        <f t="shared" si="2"/>
        <v>DKC68-50.var</v>
      </c>
      <c r="E21" s="20" t="s">
        <v>337</v>
      </c>
      <c r="F21" s="20" t="s">
        <v>338</v>
      </c>
      <c r="G21" s="20" t="s">
        <v>323</v>
      </c>
      <c r="H21" s="20" t="s">
        <v>324</v>
      </c>
      <c r="I21" s="20" t="s">
        <v>325</v>
      </c>
      <c r="J21" s="20" t="s">
        <v>261</v>
      </c>
      <c r="K21" s="20" t="s">
        <v>326</v>
      </c>
      <c r="L21" s="20" t="s">
        <v>22</v>
      </c>
      <c r="M21" s="20" t="s">
        <v>336</v>
      </c>
      <c r="N21" s="20" t="s">
        <v>24</v>
      </c>
      <c r="O21" s="20" t="s">
        <v>38</v>
      </c>
      <c r="P21" s="20" t="s">
        <v>36</v>
      </c>
      <c r="Q21" s="20" t="s">
        <v>46</v>
      </c>
      <c r="R21" s="20" t="s">
        <v>39</v>
      </c>
      <c r="S21" s="20" t="s">
        <v>45</v>
      </c>
      <c r="T21" s="20" t="s">
        <v>55</v>
      </c>
      <c r="U21" s="20" t="s">
        <v>44</v>
      </c>
      <c r="V21" s="20" t="s">
        <v>56</v>
      </c>
      <c r="W21" s="20"/>
    </row>
    <row r="22" spans="1:23" x14ac:dyDescent="0.25">
      <c r="A22" s="20" t="s">
        <v>339</v>
      </c>
      <c r="B22" s="20" t="s">
        <v>267</v>
      </c>
      <c r="C22" s="20" t="s">
        <v>320</v>
      </c>
      <c r="D22" s="20" t="str">
        <f t="shared" si="2"/>
        <v>DKC68-50.var</v>
      </c>
      <c r="E22" s="20" t="s">
        <v>340</v>
      </c>
      <c r="F22" s="20" t="s">
        <v>341</v>
      </c>
      <c r="G22" s="20" t="s">
        <v>323</v>
      </c>
      <c r="H22" s="20" t="s">
        <v>324</v>
      </c>
      <c r="I22" s="20" t="s">
        <v>325</v>
      </c>
      <c r="J22" s="20" t="s">
        <v>261</v>
      </c>
      <c r="K22" s="20" t="s">
        <v>326</v>
      </c>
      <c r="L22" s="20" t="s">
        <v>22</v>
      </c>
      <c r="M22" s="20" t="s">
        <v>339</v>
      </c>
      <c r="N22" s="20" t="s">
        <v>24</v>
      </c>
      <c r="O22" s="20" t="s">
        <v>38</v>
      </c>
      <c r="P22" s="20" t="s">
        <v>36</v>
      </c>
      <c r="Q22" s="20" t="s">
        <v>46</v>
      </c>
      <c r="R22" s="20" t="s">
        <v>39</v>
      </c>
      <c r="S22" s="20" t="s">
        <v>45</v>
      </c>
      <c r="T22" s="20" t="s">
        <v>55</v>
      </c>
      <c r="U22" s="20" t="s">
        <v>44</v>
      </c>
      <c r="V22" s="20" t="s">
        <v>56</v>
      </c>
      <c r="W22" s="20"/>
    </row>
    <row r="23" spans="1:23" x14ac:dyDescent="0.25">
      <c r="A23" s="20" t="s">
        <v>342</v>
      </c>
      <c r="B23" s="20" t="s">
        <v>268</v>
      </c>
      <c r="C23" s="20" t="s">
        <v>320</v>
      </c>
      <c r="D23" s="20" t="str">
        <f t="shared" si="2"/>
        <v>DKC68-50.var</v>
      </c>
      <c r="E23" s="20" t="s">
        <v>343</v>
      </c>
      <c r="F23" s="20" t="s">
        <v>344</v>
      </c>
      <c r="G23" s="20" t="s">
        <v>323</v>
      </c>
      <c r="H23" s="20" t="s">
        <v>324</v>
      </c>
      <c r="I23" s="20" t="s">
        <v>325</v>
      </c>
      <c r="J23" s="20" t="s">
        <v>261</v>
      </c>
      <c r="K23" s="20" t="s">
        <v>326</v>
      </c>
      <c r="L23" s="20" t="s">
        <v>22</v>
      </c>
      <c r="M23" s="20" t="s">
        <v>342</v>
      </c>
      <c r="N23" s="20" t="s">
        <v>24</v>
      </c>
      <c r="O23" s="20" t="s">
        <v>38</v>
      </c>
      <c r="P23" s="20" t="s">
        <v>36</v>
      </c>
      <c r="Q23" s="20" t="s">
        <v>46</v>
      </c>
      <c r="R23" s="20" t="s">
        <v>39</v>
      </c>
      <c r="S23" s="20" t="s">
        <v>45</v>
      </c>
      <c r="T23" s="20" t="s">
        <v>55</v>
      </c>
      <c r="U23" s="20" t="s">
        <v>44</v>
      </c>
      <c r="V23" s="20" t="s">
        <v>56</v>
      </c>
      <c r="W23" s="20"/>
    </row>
    <row r="24" spans="1:23" x14ac:dyDescent="0.25">
      <c r="A24" s="20" t="s">
        <v>345</v>
      </c>
      <c r="B24" s="20" t="s">
        <v>269</v>
      </c>
      <c r="C24" s="20" t="s">
        <v>320</v>
      </c>
      <c r="D24" s="20" t="str">
        <f t="shared" si="2"/>
        <v>DKC68-50.var</v>
      </c>
      <c r="E24" s="20" t="s">
        <v>346</v>
      </c>
      <c r="F24" s="20" t="s">
        <v>347</v>
      </c>
      <c r="G24" s="20" t="s">
        <v>323</v>
      </c>
      <c r="H24" s="20" t="s">
        <v>324</v>
      </c>
      <c r="I24" s="20" t="s">
        <v>325</v>
      </c>
      <c r="J24" s="20" t="s">
        <v>261</v>
      </c>
      <c r="K24" s="20" t="s">
        <v>326</v>
      </c>
      <c r="L24" s="20" t="s">
        <v>22</v>
      </c>
      <c r="M24" s="20" t="s">
        <v>345</v>
      </c>
      <c r="N24" s="20" t="s">
        <v>24</v>
      </c>
      <c r="O24" s="20" t="s">
        <v>38</v>
      </c>
      <c r="P24" s="20" t="s">
        <v>36</v>
      </c>
      <c r="Q24" s="20" t="s">
        <v>46</v>
      </c>
      <c r="R24" s="20" t="s">
        <v>39</v>
      </c>
      <c r="S24" s="20" t="s">
        <v>45</v>
      </c>
      <c r="T24" s="20" t="s">
        <v>55</v>
      </c>
      <c r="U24" s="20" t="s">
        <v>44</v>
      </c>
      <c r="V24" s="20" t="s">
        <v>56</v>
      </c>
      <c r="W24" s="20"/>
    </row>
    <row r="25" spans="1:23" x14ac:dyDescent="0.25">
      <c r="A25" s="20" t="s">
        <v>348</v>
      </c>
      <c r="B25" s="20" t="s">
        <v>270</v>
      </c>
      <c r="C25" s="20" t="s">
        <v>320</v>
      </c>
      <c r="D25" s="20" t="str">
        <f t="shared" si="2"/>
        <v>DKC68-50.var</v>
      </c>
      <c r="E25" s="20" t="s">
        <v>349</v>
      </c>
      <c r="F25" s="20" t="s">
        <v>350</v>
      </c>
      <c r="G25" s="20" t="s">
        <v>323</v>
      </c>
      <c r="H25" s="20" t="s">
        <v>324</v>
      </c>
      <c r="I25" s="20" t="s">
        <v>325</v>
      </c>
      <c r="J25" s="20" t="s">
        <v>261</v>
      </c>
      <c r="K25" s="20" t="s">
        <v>326</v>
      </c>
      <c r="L25" s="20" t="s">
        <v>22</v>
      </c>
      <c r="M25" s="20" t="s">
        <v>348</v>
      </c>
      <c r="N25" s="20" t="s">
        <v>24</v>
      </c>
      <c r="O25" s="20" t="s">
        <v>38</v>
      </c>
      <c r="P25" s="20" t="s">
        <v>36</v>
      </c>
      <c r="Q25" s="20" t="s">
        <v>46</v>
      </c>
      <c r="R25" s="20" t="s">
        <v>39</v>
      </c>
      <c r="S25" s="20" t="s">
        <v>45</v>
      </c>
      <c r="T25" s="20" t="s">
        <v>55</v>
      </c>
      <c r="U25" s="20" t="s">
        <v>44</v>
      </c>
      <c r="V25" s="20" t="s">
        <v>56</v>
      </c>
      <c r="W25" s="20"/>
    </row>
    <row r="26" spans="1:23" x14ac:dyDescent="0.25">
      <c r="A26" s="20" t="s">
        <v>351</v>
      </c>
      <c r="B26" s="20" t="s">
        <v>271</v>
      </c>
      <c r="C26" s="20" t="s">
        <v>320</v>
      </c>
      <c r="D26" s="20" t="str">
        <f t="shared" si="2"/>
        <v>DKC68-50.var</v>
      </c>
      <c r="E26" s="20" t="s">
        <v>352</v>
      </c>
      <c r="F26" s="20" t="s">
        <v>353</v>
      </c>
      <c r="G26" s="20" t="s">
        <v>323</v>
      </c>
      <c r="H26" s="20" t="s">
        <v>324</v>
      </c>
      <c r="I26" s="20" t="s">
        <v>325</v>
      </c>
      <c r="J26" s="20" t="s">
        <v>261</v>
      </c>
      <c r="K26" s="20" t="s">
        <v>326</v>
      </c>
      <c r="L26" s="20" t="s">
        <v>22</v>
      </c>
      <c r="M26" s="20" t="s">
        <v>351</v>
      </c>
      <c r="N26" s="20" t="s">
        <v>24</v>
      </c>
      <c r="O26" s="20" t="s">
        <v>38</v>
      </c>
      <c r="P26" s="20" t="s">
        <v>36</v>
      </c>
      <c r="Q26" s="20" t="s">
        <v>46</v>
      </c>
      <c r="R26" s="20" t="s">
        <v>39</v>
      </c>
      <c r="S26" s="20" t="s">
        <v>45</v>
      </c>
      <c r="T26" s="20" t="s">
        <v>55</v>
      </c>
      <c r="U26" s="20" t="s">
        <v>44</v>
      </c>
      <c r="V26" s="20" t="s">
        <v>56</v>
      </c>
      <c r="W26" s="20"/>
    </row>
    <row r="27" spans="1:23" x14ac:dyDescent="0.25">
      <c r="A27" s="20" t="s">
        <v>354</v>
      </c>
      <c r="B27" s="20" t="s">
        <v>272</v>
      </c>
      <c r="C27" s="20" t="s">
        <v>320</v>
      </c>
      <c r="D27" s="20" t="str">
        <f t="shared" si="2"/>
        <v>DKC68-50.var</v>
      </c>
      <c r="E27" s="20" t="s">
        <v>355</v>
      </c>
      <c r="F27" s="20" t="s">
        <v>356</v>
      </c>
      <c r="G27" s="20" t="s">
        <v>323</v>
      </c>
      <c r="H27" s="20" t="s">
        <v>324</v>
      </c>
      <c r="I27" s="20" t="s">
        <v>325</v>
      </c>
      <c r="J27" s="20" t="s">
        <v>261</v>
      </c>
      <c r="K27" s="20" t="s">
        <v>326</v>
      </c>
      <c r="L27" s="20" t="s">
        <v>22</v>
      </c>
      <c r="M27" s="20" t="s">
        <v>354</v>
      </c>
      <c r="N27" s="20" t="s">
        <v>24</v>
      </c>
      <c r="O27" s="20" t="s">
        <v>38</v>
      </c>
      <c r="P27" s="20" t="s">
        <v>36</v>
      </c>
      <c r="Q27" s="20" t="s">
        <v>46</v>
      </c>
      <c r="R27" s="20" t="s">
        <v>39</v>
      </c>
      <c r="S27" s="20" t="s">
        <v>45</v>
      </c>
      <c r="T27" s="20" t="s">
        <v>55</v>
      </c>
      <c r="U27" s="20" t="s">
        <v>44</v>
      </c>
      <c r="V27" s="20" t="s">
        <v>56</v>
      </c>
      <c r="W27" s="20"/>
    </row>
    <row r="28" spans="1:23" x14ac:dyDescent="0.25">
      <c r="A28" s="20" t="s">
        <v>357</v>
      </c>
      <c r="B28" s="20" t="s">
        <v>273</v>
      </c>
      <c r="C28" s="20" t="s">
        <v>320</v>
      </c>
      <c r="D28" s="20" t="str">
        <f t="shared" si="2"/>
        <v>DKC68-50.var</v>
      </c>
      <c r="E28" s="20" t="s">
        <v>358</v>
      </c>
      <c r="F28" s="20" t="s">
        <v>359</v>
      </c>
      <c r="G28" s="20" t="s">
        <v>323</v>
      </c>
      <c r="H28" s="20" t="s">
        <v>324</v>
      </c>
      <c r="I28" s="20" t="s">
        <v>325</v>
      </c>
      <c r="J28" s="20" t="s">
        <v>261</v>
      </c>
      <c r="K28" s="20" t="s">
        <v>326</v>
      </c>
      <c r="L28" s="20" t="s">
        <v>22</v>
      </c>
      <c r="M28" s="20" t="s">
        <v>357</v>
      </c>
      <c r="N28" s="20" t="s">
        <v>24</v>
      </c>
      <c r="O28" s="20" t="s">
        <v>38</v>
      </c>
      <c r="P28" s="20" t="s">
        <v>36</v>
      </c>
      <c r="Q28" s="20" t="s">
        <v>46</v>
      </c>
      <c r="R28" s="20" t="s">
        <v>39</v>
      </c>
      <c r="S28" s="20" t="s">
        <v>45</v>
      </c>
      <c r="T28" s="20" t="s">
        <v>55</v>
      </c>
      <c r="U28" s="20" t="s">
        <v>44</v>
      </c>
      <c r="V28" s="20" t="s">
        <v>56</v>
      </c>
      <c r="W28" s="20"/>
    </row>
    <row r="29" spans="1:23" x14ac:dyDescent="0.25">
      <c r="A29" s="20" t="s">
        <v>360</v>
      </c>
      <c r="B29" s="20" t="s">
        <v>274</v>
      </c>
      <c r="C29" s="20" t="s">
        <v>320</v>
      </c>
      <c r="D29" s="20" t="str">
        <f t="shared" si="2"/>
        <v>DKC68-50.var</v>
      </c>
      <c r="E29" s="20" t="s">
        <v>361</v>
      </c>
      <c r="F29" s="20" t="s">
        <v>362</v>
      </c>
      <c r="G29" s="20" t="s">
        <v>323</v>
      </c>
      <c r="H29" s="20" t="s">
        <v>324</v>
      </c>
      <c r="I29" s="20" t="s">
        <v>325</v>
      </c>
      <c r="J29" s="20" t="s">
        <v>261</v>
      </c>
      <c r="K29" s="20" t="s">
        <v>326</v>
      </c>
      <c r="L29" s="20" t="s">
        <v>22</v>
      </c>
      <c r="M29" s="20" t="s">
        <v>360</v>
      </c>
      <c r="N29" s="20" t="s">
        <v>24</v>
      </c>
      <c r="O29" s="20" t="s">
        <v>38</v>
      </c>
      <c r="P29" s="20" t="s">
        <v>36</v>
      </c>
      <c r="Q29" s="20" t="s">
        <v>46</v>
      </c>
      <c r="R29" s="20" t="s">
        <v>39</v>
      </c>
      <c r="S29" s="20" t="s">
        <v>45</v>
      </c>
      <c r="T29" s="20" t="s">
        <v>55</v>
      </c>
      <c r="U29" s="20" t="s">
        <v>44</v>
      </c>
      <c r="V29" s="20" t="s">
        <v>56</v>
      </c>
      <c r="W29" s="20"/>
    </row>
    <row r="35" spans="2:7" ht="15.75" thickBot="1" x14ac:dyDescent="0.3"/>
    <row r="36" spans="2:7" ht="15.75" thickBot="1" x14ac:dyDescent="0.3">
      <c r="B36" s="26"/>
      <c r="C36" s="26"/>
      <c r="D36" s="26"/>
      <c r="E36" s="26"/>
      <c r="F36" s="26"/>
      <c r="G36" s="26"/>
    </row>
    <row r="37" spans="2:7" ht="15.75" thickBot="1" x14ac:dyDescent="0.3">
      <c r="B37" s="26"/>
      <c r="C37" s="26"/>
      <c r="D37" s="26"/>
      <c r="E37" s="26"/>
      <c r="F37" s="26"/>
      <c r="G37" s="26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"/>
  <sheetViews>
    <sheetView workbookViewId="0">
      <selection activeCell="B1" sqref="B1:I1"/>
    </sheetView>
  </sheetViews>
  <sheetFormatPr defaultRowHeight="15" x14ac:dyDescent="0.25"/>
  <cols>
    <col min="1" max="1" width="14.140625" customWidth="1"/>
  </cols>
  <sheetData>
    <row r="1" spans="1:9" x14ac:dyDescent="0.25">
      <c r="A1" t="s">
        <v>49</v>
      </c>
      <c r="B1" s="8" t="s">
        <v>82</v>
      </c>
      <c r="C1" s="8" t="s">
        <v>83</v>
      </c>
      <c r="D1" s="8" t="s">
        <v>7</v>
      </c>
      <c r="E1" s="8" t="s">
        <v>84</v>
      </c>
      <c r="F1" s="8" t="s">
        <v>8</v>
      </c>
      <c r="G1" s="8" t="s">
        <v>85</v>
      </c>
      <c r="H1" s="8" t="s">
        <v>86</v>
      </c>
      <c r="I1" s="8" t="s">
        <v>87</v>
      </c>
    </row>
    <row r="2" spans="1:9" ht="15.75" x14ac:dyDescent="0.25">
      <c r="A2" s="1" t="s">
        <v>24</v>
      </c>
      <c r="B2">
        <v>0.1</v>
      </c>
      <c r="C2">
        <v>0.08</v>
      </c>
      <c r="D2">
        <v>0.6</v>
      </c>
      <c r="E2">
        <v>1</v>
      </c>
      <c r="F2">
        <v>25</v>
      </c>
      <c r="G2">
        <v>3</v>
      </c>
      <c r="H2">
        <v>0.1</v>
      </c>
      <c r="I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4"/>
  <sheetViews>
    <sheetView workbookViewId="0">
      <selection activeCell="A2" sqref="A2:XFD6"/>
    </sheetView>
  </sheetViews>
  <sheetFormatPr defaultRowHeight="15" x14ac:dyDescent="0.25"/>
  <cols>
    <col min="1" max="1" width="15.28515625" customWidth="1"/>
    <col min="2" max="2" width="13.42578125" customWidth="1"/>
    <col min="7" max="7" width="17.140625" customWidth="1"/>
    <col min="8" max="8" width="13.140625" customWidth="1"/>
    <col min="19" max="19" width="11.5703125" customWidth="1"/>
    <col min="20" max="20" width="14.5703125" customWidth="1"/>
  </cols>
  <sheetData>
    <row r="1" spans="1:23" x14ac:dyDescent="0.25">
      <c r="A1" t="s">
        <v>61</v>
      </c>
      <c r="B1" t="s">
        <v>70</v>
      </c>
      <c r="C1" s="11" t="s">
        <v>88</v>
      </c>
      <c r="D1" s="11" t="s">
        <v>89</v>
      </c>
      <c r="E1" t="s">
        <v>90</v>
      </c>
      <c r="F1" t="s">
        <v>91</v>
      </c>
      <c r="G1" t="s">
        <v>92</v>
      </c>
      <c r="H1" s="8" t="s">
        <v>93</v>
      </c>
      <c r="I1" s="8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226</v>
      </c>
      <c r="P1" t="s">
        <v>100</v>
      </c>
      <c r="Q1" t="s">
        <v>101</v>
      </c>
      <c r="R1" t="s">
        <v>102</v>
      </c>
      <c r="S1" t="s">
        <v>103</v>
      </c>
      <c r="T1" s="8" t="s">
        <v>104</v>
      </c>
      <c r="U1" t="s">
        <v>105</v>
      </c>
      <c r="V1" t="s">
        <v>106</v>
      </c>
      <c r="W1" t="s">
        <v>107</v>
      </c>
    </row>
    <row r="3" spans="1:23" s="20" customFormat="1" x14ac:dyDescent="0.25">
      <c r="A3" s="20" t="s">
        <v>281</v>
      </c>
      <c r="B3" s="20" t="s">
        <v>247</v>
      </c>
      <c r="C3" s="22">
        <v>19.395099999999999</v>
      </c>
      <c r="D3" s="22">
        <v>74.652100000000004</v>
      </c>
      <c r="E3" s="20">
        <v>0</v>
      </c>
      <c r="F3" s="20">
        <v>1</v>
      </c>
      <c r="G3" s="20">
        <v>0</v>
      </c>
      <c r="H3" s="20">
        <v>0</v>
      </c>
      <c r="I3" s="20">
        <v>0</v>
      </c>
      <c r="J3" s="20">
        <v>1</v>
      </c>
      <c r="K3" s="20">
        <v>0</v>
      </c>
      <c r="L3" s="21">
        <v>1000000</v>
      </c>
      <c r="M3" s="20">
        <v>1</v>
      </c>
      <c r="N3" s="20">
        <v>0</v>
      </c>
      <c r="O3" s="20">
        <v>0.1</v>
      </c>
      <c r="P3" s="20">
        <v>1</v>
      </c>
      <c r="Q3" s="20">
        <v>1</v>
      </c>
      <c r="R3" s="20">
        <v>12</v>
      </c>
      <c r="S3" s="20">
        <v>3</v>
      </c>
      <c r="T3" s="20">
        <v>0</v>
      </c>
      <c r="U3" s="20">
        <v>83</v>
      </c>
      <c r="V3" s="20">
        <v>420</v>
      </c>
      <c r="W3" s="22">
        <v>511</v>
      </c>
    </row>
    <row r="4" spans="1:23" s="20" customFormat="1" x14ac:dyDescent="0.25">
      <c r="A4" s="20" t="s">
        <v>325</v>
      </c>
      <c r="B4" s="20" t="s">
        <v>261</v>
      </c>
      <c r="C4" s="20">
        <v>39.72</v>
      </c>
      <c r="D4" s="20">
        <v>-96.49</v>
      </c>
      <c r="E4" s="20">
        <v>0</v>
      </c>
      <c r="F4" s="20">
        <v>1</v>
      </c>
      <c r="G4" s="20">
        <v>0</v>
      </c>
      <c r="H4" s="20">
        <v>0</v>
      </c>
      <c r="I4" s="20">
        <v>0</v>
      </c>
      <c r="J4" s="20">
        <v>1</v>
      </c>
      <c r="K4" s="20">
        <v>0</v>
      </c>
      <c r="L4" s="21">
        <v>1000000</v>
      </c>
      <c r="M4" s="20">
        <v>1</v>
      </c>
      <c r="N4" s="20">
        <v>0</v>
      </c>
      <c r="O4" s="20">
        <v>0.1</v>
      </c>
      <c r="P4" s="20">
        <v>1</v>
      </c>
      <c r="Q4" s="20">
        <v>1</v>
      </c>
      <c r="R4" s="20">
        <v>10</v>
      </c>
      <c r="S4" s="20">
        <v>3</v>
      </c>
      <c r="T4" s="20">
        <v>0</v>
      </c>
      <c r="U4" s="20">
        <v>83</v>
      </c>
      <c r="V4" s="20">
        <v>420</v>
      </c>
      <c r="W4" s="23">
        <v>466</v>
      </c>
    </row>
    <row r="6" spans="1:23" ht="15.75" x14ac:dyDescent="0.25">
      <c r="A6" s="4"/>
    </row>
    <row r="12" spans="1:23" ht="15.75" x14ac:dyDescent="0.25">
      <c r="A12" s="5"/>
    </row>
    <row r="13" spans="1:23" ht="15.75" x14ac:dyDescent="0.25">
      <c r="A13" s="5"/>
    </row>
    <row r="14" spans="1:23" ht="15.75" x14ac:dyDescent="0.25">
      <c r="A14" s="5"/>
    </row>
  </sheetData>
  <sortState xmlns:xlrd2="http://schemas.microsoft.com/office/spreadsheetml/2017/richdata2" ref="B2:B6">
    <sortCondition ref="B2:B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84"/>
  <sheetViews>
    <sheetView workbookViewId="0">
      <selection activeCell="A23" sqref="A2:XFD23"/>
    </sheetView>
  </sheetViews>
  <sheetFormatPr defaultRowHeight="15" x14ac:dyDescent="0.25"/>
  <cols>
    <col min="1" max="1" width="10.5703125" customWidth="1"/>
    <col min="2" max="2" width="13" customWidth="1"/>
    <col min="3" max="4" width="17" customWidth="1"/>
    <col min="5" max="5" width="17.7109375" customWidth="1"/>
    <col min="10" max="10" width="14.85546875" customWidth="1"/>
    <col min="11" max="11" width="13.5703125" customWidth="1"/>
  </cols>
  <sheetData>
    <row r="1" spans="1:12" ht="18" customHeight="1" x14ac:dyDescent="0.25">
      <c r="A1" t="s">
        <v>49</v>
      </c>
      <c r="B1" s="11" t="s">
        <v>108</v>
      </c>
      <c r="C1" s="11" t="s">
        <v>1</v>
      </c>
      <c r="D1" s="11" t="s">
        <v>34</v>
      </c>
      <c r="E1" t="s">
        <v>109</v>
      </c>
      <c r="F1" t="s">
        <v>110</v>
      </c>
      <c r="G1" s="11" t="s">
        <v>111</v>
      </c>
      <c r="H1" s="11" t="s">
        <v>112</v>
      </c>
      <c r="I1" t="s">
        <v>35</v>
      </c>
      <c r="J1" t="s">
        <v>231</v>
      </c>
      <c r="K1" t="s">
        <v>243</v>
      </c>
      <c r="L1" t="s">
        <v>230</v>
      </c>
    </row>
    <row r="5" spans="1:12" x14ac:dyDescent="0.25">
      <c r="A5" s="20" t="s">
        <v>275</v>
      </c>
      <c r="B5" s="24">
        <v>42563</v>
      </c>
      <c r="C5" s="20">
        <v>40</v>
      </c>
      <c r="D5" s="20">
        <v>5</v>
      </c>
      <c r="E5" s="20">
        <v>0</v>
      </c>
      <c r="F5" s="20">
        <v>0</v>
      </c>
      <c r="G5" s="20">
        <v>0</v>
      </c>
      <c r="H5" s="20">
        <v>0</v>
      </c>
    </row>
    <row r="6" spans="1:12" x14ac:dyDescent="0.25">
      <c r="A6" s="20" t="s">
        <v>275</v>
      </c>
      <c r="B6" s="24">
        <v>42599</v>
      </c>
      <c r="C6" s="20">
        <v>40</v>
      </c>
      <c r="D6" s="20">
        <v>5</v>
      </c>
      <c r="E6" s="20">
        <v>0</v>
      </c>
      <c r="F6" s="20">
        <v>0</v>
      </c>
      <c r="G6" s="20">
        <v>0</v>
      </c>
      <c r="H6" s="20">
        <v>0</v>
      </c>
    </row>
    <row r="7" spans="1:12" x14ac:dyDescent="0.25">
      <c r="A7" s="20" t="s">
        <v>275</v>
      </c>
      <c r="B7" s="24">
        <v>42627</v>
      </c>
      <c r="C7" s="20">
        <v>40</v>
      </c>
      <c r="D7" s="20">
        <v>5</v>
      </c>
      <c r="E7" s="20">
        <v>0</v>
      </c>
      <c r="F7" s="20">
        <v>0</v>
      </c>
      <c r="G7" s="20">
        <v>0</v>
      </c>
      <c r="H7" s="20">
        <v>0</v>
      </c>
    </row>
    <row r="8" spans="1:12" x14ac:dyDescent="0.25">
      <c r="A8" s="20" t="s">
        <v>283</v>
      </c>
      <c r="B8" s="24">
        <v>42931</v>
      </c>
      <c r="C8" s="20">
        <v>40</v>
      </c>
      <c r="D8" s="20">
        <v>5</v>
      </c>
      <c r="E8" s="20">
        <v>0</v>
      </c>
      <c r="F8" s="20">
        <v>0</v>
      </c>
      <c r="G8" s="20">
        <v>0</v>
      </c>
      <c r="H8" s="20">
        <v>0</v>
      </c>
    </row>
    <row r="9" spans="1:12" x14ac:dyDescent="0.25">
      <c r="A9" s="20" t="s">
        <v>283</v>
      </c>
      <c r="B9" s="24">
        <v>42967</v>
      </c>
      <c r="C9" s="20">
        <v>40</v>
      </c>
      <c r="D9" s="20">
        <v>5</v>
      </c>
      <c r="E9" s="20">
        <v>0</v>
      </c>
      <c r="F9" s="20">
        <v>0</v>
      </c>
      <c r="G9" s="20">
        <v>0</v>
      </c>
      <c r="H9" s="20">
        <v>0</v>
      </c>
    </row>
    <row r="10" spans="1:12" x14ac:dyDescent="0.25">
      <c r="A10" s="20" t="s">
        <v>283</v>
      </c>
      <c r="B10" s="24">
        <v>42993</v>
      </c>
      <c r="C10" s="20">
        <v>40</v>
      </c>
      <c r="D10" s="20">
        <v>5</v>
      </c>
      <c r="E10" s="20">
        <v>0</v>
      </c>
      <c r="F10" s="20">
        <v>0</v>
      </c>
      <c r="G10" s="20">
        <v>0</v>
      </c>
      <c r="H10" s="20">
        <v>0</v>
      </c>
    </row>
    <row r="11" spans="1:12" x14ac:dyDescent="0.25">
      <c r="A11" s="20" t="s">
        <v>286</v>
      </c>
      <c r="B11" s="24">
        <v>43286</v>
      </c>
      <c r="C11" s="20">
        <v>40</v>
      </c>
      <c r="D11" s="20">
        <v>5</v>
      </c>
      <c r="E11" s="20">
        <v>0</v>
      </c>
      <c r="F11" s="20">
        <v>0</v>
      </c>
      <c r="G11" s="20">
        <v>0</v>
      </c>
      <c r="H11" s="20">
        <v>0</v>
      </c>
    </row>
    <row r="12" spans="1:12" x14ac:dyDescent="0.25">
      <c r="A12" s="20" t="s">
        <v>286</v>
      </c>
      <c r="B12" s="24">
        <v>43322</v>
      </c>
      <c r="C12" s="20">
        <v>40</v>
      </c>
      <c r="D12" s="20">
        <v>5</v>
      </c>
      <c r="E12" s="20">
        <v>0</v>
      </c>
      <c r="F12" s="20">
        <v>0</v>
      </c>
      <c r="G12" s="20">
        <v>0</v>
      </c>
      <c r="H12" s="20">
        <v>0</v>
      </c>
    </row>
    <row r="13" spans="1:12" x14ac:dyDescent="0.25">
      <c r="A13" s="20" t="s">
        <v>286</v>
      </c>
      <c r="B13" s="24">
        <v>43350</v>
      </c>
      <c r="C13" s="20">
        <v>40</v>
      </c>
      <c r="D13" s="20">
        <v>5</v>
      </c>
      <c r="E13" s="20">
        <v>0</v>
      </c>
      <c r="F13" s="20">
        <v>0</v>
      </c>
      <c r="G13" s="20">
        <v>0</v>
      </c>
      <c r="H13" s="20">
        <v>0</v>
      </c>
    </row>
    <row r="14" spans="1:12" x14ac:dyDescent="0.25">
      <c r="A14" s="20" t="s">
        <v>289</v>
      </c>
      <c r="B14" s="24">
        <v>43644</v>
      </c>
      <c r="C14" s="20">
        <v>40</v>
      </c>
      <c r="D14" s="20">
        <v>5</v>
      </c>
      <c r="E14" s="20">
        <v>0</v>
      </c>
      <c r="F14" s="20">
        <v>0</v>
      </c>
      <c r="G14" s="20">
        <v>0</v>
      </c>
      <c r="H14" s="20">
        <v>0</v>
      </c>
    </row>
    <row r="15" spans="1:12" x14ac:dyDescent="0.25">
      <c r="A15" s="20" t="s">
        <v>289</v>
      </c>
      <c r="B15" s="24">
        <v>43680</v>
      </c>
      <c r="C15" s="20">
        <v>40</v>
      </c>
      <c r="D15" s="20">
        <v>5</v>
      </c>
      <c r="E15" s="20">
        <v>0</v>
      </c>
      <c r="F15" s="20">
        <v>0</v>
      </c>
      <c r="G15" s="20">
        <v>0</v>
      </c>
      <c r="H15" s="20">
        <v>0</v>
      </c>
    </row>
    <row r="16" spans="1:12" x14ac:dyDescent="0.25">
      <c r="A16" s="20" t="s">
        <v>289</v>
      </c>
      <c r="B16" s="24">
        <v>43708</v>
      </c>
      <c r="C16" s="20">
        <v>40</v>
      </c>
      <c r="D16" s="20">
        <v>5</v>
      </c>
      <c r="E16" s="20">
        <v>0</v>
      </c>
      <c r="F16" s="20">
        <v>0</v>
      </c>
      <c r="G16" s="20">
        <v>0</v>
      </c>
      <c r="H16" s="20">
        <v>0</v>
      </c>
    </row>
    <row r="17" spans="1:8" x14ac:dyDescent="0.25">
      <c r="A17" s="20" t="s">
        <v>292</v>
      </c>
      <c r="B17" s="24">
        <v>44002</v>
      </c>
      <c r="C17" s="20">
        <v>40</v>
      </c>
      <c r="D17" s="20">
        <v>5</v>
      </c>
      <c r="E17" s="20">
        <v>0</v>
      </c>
      <c r="F17" s="20">
        <v>0</v>
      </c>
      <c r="G17" s="20">
        <v>0</v>
      </c>
      <c r="H17" s="20">
        <v>0</v>
      </c>
    </row>
    <row r="18" spans="1:8" x14ac:dyDescent="0.25">
      <c r="A18" s="20" t="s">
        <v>292</v>
      </c>
      <c r="B18" s="24">
        <v>44038</v>
      </c>
      <c r="C18" s="20">
        <v>40</v>
      </c>
      <c r="D18" s="20">
        <v>5</v>
      </c>
      <c r="E18" s="20">
        <v>0</v>
      </c>
      <c r="F18" s="20">
        <v>0</v>
      </c>
      <c r="G18" s="20">
        <v>0</v>
      </c>
      <c r="H18" s="20">
        <v>0</v>
      </c>
    </row>
    <row r="19" spans="1:8" x14ac:dyDescent="0.25">
      <c r="A19" s="20" t="s">
        <v>292</v>
      </c>
      <c r="B19" s="24">
        <v>44060</v>
      </c>
      <c r="C19" s="20">
        <v>40</v>
      </c>
      <c r="D19" s="20">
        <v>5</v>
      </c>
      <c r="E19" s="20">
        <v>0</v>
      </c>
      <c r="F19" s="20">
        <v>0</v>
      </c>
      <c r="G19" s="20">
        <v>0</v>
      </c>
      <c r="H19" s="20">
        <v>0</v>
      </c>
    </row>
    <row r="20" spans="1:8" x14ac:dyDescent="0.25">
      <c r="A20" s="20" t="s">
        <v>295</v>
      </c>
      <c r="B20" s="24">
        <v>44372</v>
      </c>
      <c r="C20" s="20">
        <v>40</v>
      </c>
      <c r="D20" s="20">
        <v>5</v>
      </c>
      <c r="E20" s="20">
        <v>0</v>
      </c>
      <c r="F20" s="20">
        <v>0</v>
      </c>
      <c r="G20" s="20">
        <v>0</v>
      </c>
      <c r="H20" s="20">
        <v>0</v>
      </c>
    </row>
    <row r="21" spans="1:8" x14ac:dyDescent="0.25">
      <c r="A21" s="20" t="s">
        <v>295</v>
      </c>
      <c r="B21" s="24">
        <v>44408</v>
      </c>
      <c r="C21" s="20">
        <v>40</v>
      </c>
      <c r="D21" s="20">
        <v>5</v>
      </c>
      <c r="E21" s="20">
        <v>0</v>
      </c>
      <c r="F21" s="20">
        <v>0</v>
      </c>
      <c r="G21" s="20">
        <v>0</v>
      </c>
      <c r="H21" s="20">
        <v>0</v>
      </c>
    </row>
    <row r="22" spans="1:8" x14ac:dyDescent="0.25">
      <c r="A22" s="20" t="s">
        <v>295</v>
      </c>
      <c r="B22" s="24">
        <v>44434</v>
      </c>
      <c r="C22" s="20">
        <v>40</v>
      </c>
      <c r="D22" s="20">
        <v>5</v>
      </c>
      <c r="E22" s="20">
        <v>0</v>
      </c>
      <c r="F22" s="20">
        <v>0</v>
      </c>
      <c r="G22" s="20">
        <v>0</v>
      </c>
      <c r="H22" s="20">
        <v>0</v>
      </c>
    </row>
    <row r="23" spans="1:8" x14ac:dyDescent="0.25">
      <c r="A23" s="20" t="s">
        <v>298</v>
      </c>
      <c r="B23" s="24">
        <v>40005</v>
      </c>
      <c r="C23" s="20">
        <v>40</v>
      </c>
      <c r="D23" s="20">
        <v>5</v>
      </c>
      <c r="E23" s="20">
        <v>0</v>
      </c>
      <c r="F23" s="20">
        <v>0</v>
      </c>
      <c r="G23" s="20">
        <v>0</v>
      </c>
      <c r="H23" s="20">
        <v>0</v>
      </c>
    </row>
    <row r="24" spans="1:8" x14ac:dyDescent="0.25">
      <c r="A24" s="20" t="s">
        <v>298</v>
      </c>
      <c r="B24" s="24">
        <v>40041</v>
      </c>
      <c r="C24" s="20">
        <v>40</v>
      </c>
      <c r="D24" s="20">
        <v>5</v>
      </c>
      <c r="E24" s="20">
        <v>0</v>
      </c>
      <c r="F24" s="20">
        <v>0</v>
      </c>
      <c r="G24" s="20">
        <v>0</v>
      </c>
      <c r="H24" s="20">
        <v>0</v>
      </c>
    </row>
    <row r="25" spans="1:8" x14ac:dyDescent="0.25">
      <c r="A25" s="20" t="s">
        <v>298</v>
      </c>
      <c r="B25" s="24">
        <v>40071</v>
      </c>
      <c r="C25" s="20">
        <v>40</v>
      </c>
      <c r="D25" s="20">
        <v>5</v>
      </c>
      <c r="E25" s="20">
        <v>0</v>
      </c>
      <c r="F25" s="20">
        <v>0</v>
      </c>
      <c r="G25" s="20">
        <v>0</v>
      </c>
      <c r="H25" s="20">
        <v>0</v>
      </c>
    </row>
    <row r="26" spans="1:8" x14ac:dyDescent="0.25">
      <c r="A26" s="20" t="s">
        <v>301</v>
      </c>
      <c r="B26" s="24">
        <v>40372</v>
      </c>
      <c r="C26" s="20">
        <v>40</v>
      </c>
      <c r="D26" s="20">
        <v>5</v>
      </c>
      <c r="E26" s="20">
        <v>0</v>
      </c>
      <c r="F26" s="20">
        <v>0</v>
      </c>
      <c r="G26" s="20">
        <v>0</v>
      </c>
      <c r="H26" s="20">
        <v>0</v>
      </c>
    </row>
    <row r="27" spans="1:8" x14ac:dyDescent="0.25">
      <c r="A27" s="20" t="s">
        <v>301</v>
      </c>
      <c r="B27" s="24">
        <v>40409</v>
      </c>
      <c r="C27" s="20">
        <v>40</v>
      </c>
      <c r="D27" s="20">
        <v>5</v>
      </c>
      <c r="E27" s="20">
        <v>0</v>
      </c>
      <c r="F27" s="20">
        <v>0</v>
      </c>
      <c r="G27" s="20">
        <v>0</v>
      </c>
      <c r="H27" s="20">
        <v>0</v>
      </c>
    </row>
    <row r="28" spans="1:8" x14ac:dyDescent="0.25">
      <c r="A28" s="20" t="s">
        <v>301</v>
      </c>
      <c r="B28" s="24">
        <v>40439</v>
      </c>
      <c r="C28" s="20">
        <v>40</v>
      </c>
      <c r="D28" s="20">
        <v>5</v>
      </c>
      <c r="E28" s="20">
        <v>0</v>
      </c>
      <c r="F28" s="20">
        <v>0</v>
      </c>
      <c r="G28" s="20">
        <v>0</v>
      </c>
      <c r="H28" s="20">
        <v>0</v>
      </c>
    </row>
    <row r="29" spans="1:8" x14ac:dyDescent="0.25">
      <c r="A29" s="20" t="s">
        <v>304</v>
      </c>
      <c r="B29" s="24">
        <v>40741</v>
      </c>
      <c r="C29" s="20">
        <v>40</v>
      </c>
      <c r="D29" s="20">
        <v>5</v>
      </c>
      <c r="E29" s="20">
        <v>0</v>
      </c>
      <c r="F29" s="20">
        <v>0</v>
      </c>
      <c r="G29" s="20">
        <v>0</v>
      </c>
      <c r="H29" s="20">
        <v>0</v>
      </c>
    </row>
    <row r="30" spans="1:8" x14ac:dyDescent="0.25">
      <c r="A30" s="20" t="s">
        <v>304</v>
      </c>
      <c r="B30" s="24">
        <v>40776</v>
      </c>
      <c r="C30" s="20">
        <v>40</v>
      </c>
      <c r="D30" s="20">
        <v>5</v>
      </c>
      <c r="E30" s="20">
        <v>0</v>
      </c>
      <c r="F30" s="20">
        <v>0</v>
      </c>
      <c r="G30" s="20">
        <v>0</v>
      </c>
      <c r="H30" s="20">
        <v>0</v>
      </c>
    </row>
    <row r="31" spans="1:8" x14ac:dyDescent="0.25">
      <c r="A31" s="20" t="s">
        <v>304</v>
      </c>
      <c r="B31" s="24">
        <v>40805</v>
      </c>
      <c r="C31" s="20">
        <v>40</v>
      </c>
      <c r="D31" s="20">
        <v>5</v>
      </c>
      <c r="E31" s="20">
        <v>0</v>
      </c>
      <c r="F31" s="20">
        <v>0</v>
      </c>
      <c r="G31" s="20">
        <v>0</v>
      </c>
      <c r="H31" s="20">
        <v>0</v>
      </c>
    </row>
    <row r="32" spans="1:8" x14ac:dyDescent="0.25">
      <c r="A32" s="20" t="s">
        <v>307</v>
      </c>
      <c r="B32" s="24">
        <v>41104</v>
      </c>
      <c r="C32" s="20">
        <v>40</v>
      </c>
      <c r="D32" s="20">
        <v>5</v>
      </c>
      <c r="E32" s="20">
        <v>0</v>
      </c>
      <c r="F32" s="20">
        <v>0</v>
      </c>
      <c r="G32" s="20">
        <v>0</v>
      </c>
      <c r="H32" s="20">
        <v>0</v>
      </c>
    </row>
    <row r="33" spans="1:8" x14ac:dyDescent="0.25">
      <c r="A33" s="20" t="s">
        <v>307</v>
      </c>
      <c r="B33" s="24">
        <v>41139</v>
      </c>
      <c r="C33" s="20">
        <v>40</v>
      </c>
      <c r="D33" s="20">
        <v>5</v>
      </c>
      <c r="E33" s="20">
        <v>0</v>
      </c>
      <c r="F33" s="20">
        <v>0</v>
      </c>
      <c r="G33" s="20">
        <v>0</v>
      </c>
      <c r="H33" s="20">
        <v>0</v>
      </c>
    </row>
    <row r="34" spans="1:8" x14ac:dyDescent="0.25">
      <c r="A34" s="20" t="s">
        <v>307</v>
      </c>
      <c r="B34" s="24">
        <v>41168</v>
      </c>
      <c r="C34" s="20">
        <v>40</v>
      </c>
      <c r="D34" s="20">
        <v>5</v>
      </c>
      <c r="E34" s="20">
        <v>0</v>
      </c>
      <c r="F34" s="20">
        <v>0</v>
      </c>
      <c r="G34" s="20">
        <v>0</v>
      </c>
      <c r="H34" s="20">
        <v>0</v>
      </c>
    </row>
    <row r="35" spans="1:8" x14ac:dyDescent="0.25">
      <c r="A35" s="20" t="s">
        <v>310</v>
      </c>
      <c r="B35" s="24">
        <v>41446</v>
      </c>
      <c r="C35" s="20">
        <v>40</v>
      </c>
      <c r="D35" s="20">
        <v>5</v>
      </c>
      <c r="E35" s="20">
        <v>0</v>
      </c>
      <c r="F35" s="20">
        <v>0</v>
      </c>
      <c r="G35" s="20">
        <v>0</v>
      </c>
      <c r="H35" s="20">
        <v>0</v>
      </c>
    </row>
    <row r="36" spans="1:8" x14ac:dyDescent="0.25">
      <c r="A36" s="20" t="s">
        <v>310</v>
      </c>
      <c r="B36" s="24">
        <v>41482</v>
      </c>
      <c r="C36" s="20">
        <v>40</v>
      </c>
      <c r="D36" s="20">
        <v>5</v>
      </c>
      <c r="E36" s="20">
        <v>0</v>
      </c>
      <c r="F36" s="20">
        <v>0</v>
      </c>
      <c r="G36" s="20">
        <v>0</v>
      </c>
      <c r="H36" s="20">
        <v>0</v>
      </c>
    </row>
    <row r="37" spans="1:8" x14ac:dyDescent="0.25">
      <c r="A37" s="20" t="s">
        <v>310</v>
      </c>
      <c r="B37" s="24">
        <v>41504</v>
      </c>
      <c r="C37" s="20">
        <v>40</v>
      </c>
      <c r="D37" s="20">
        <v>5</v>
      </c>
      <c r="E37" s="20">
        <v>0</v>
      </c>
      <c r="F37" s="20">
        <v>0</v>
      </c>
      <c r="G37" s="20">
        <v>0</v>
      </c>
      <c r="H37" s="20">
        <v>0</v>
      </c>
    </row>
    <row r="38" spans="1:8" x14ac:dyDescent="0.25">
      <c r="A38" s="20" t="s">
        <v>313</v>
      </c>
      <c r="B38" s="24">
        <v>41812</v>
      </c>
      <c r="C38" s="20">
        <v>40</v>
      </c>
      <c r="D38" s="20">
        <v>5</v>
      </c>
      <c r="E38" s="20">
        <v>0</v>
      </c>
      <c r="F38" s="20">
        <v>0</v>
      </c>
      <c r="G38" s="20">
        <v>0</v>
      </c>
      <c r="H38" s="20">
        <v>0</v>
      </c>
    </row>
    <row r="39" spans="1:8" x14ac:dyDescent="0.25">
      <c r="A39" s="20" t="s">
        <v>313</v>
      </c>
      <c r="B39" s="24">
        <v>41848</v>
      </c>
      <c r="C39" s="20">
        <v>40</v>
      </c>
      <c r="D39" s="20">
        <v>5</v>
      </c>
      <c r="E39" s="20">
        <v>0</v>
      </c>
      <c r="F39" s="20">
        <v>0</v>
      </c>
      <c r="G39" s="20">
        <v>0</v>
      </c>
      <c r="H39" s="20">
        <v>0</v>
      </c>
    </row>
    <row r="40" spans="1:8" x14ac:dyDescent="0.25">
      <c r="A40" s="20" t="s">
        <v>313</v>
      </c>
      <c r="B40" s="24">
        <v>41870</v>
      </c>
      <c r="C40" s="20">
        <v>40</v>
      </c>
      <c r="D40" s="20">
        <v>5</v>
      </c>
      <c r="E40" s="20">
        <v>0</v>
      </c>
      <c r="F40" s="20">
        <v>0</v>
      </c>
      <c r="G40" s="20">
        <v>0</v>
      </c>
      <c r="H40" s="20">
        <v>0</v>
      </c>
    </row>
    <row r="41" spans="1:8" x14ac:dyDescent="0.25">
      <c r="A41" s="20" t="s">
        <v>316</v>
      </c>
      <c r="B41" s="24">
        <v>42178</v>
      </c>
      <c r="C41" s="20">
        <v>40</v>
      </c>
      <c r="D41" s="20">
        <v>5</v>
      </c>
      <c r="E41" s="20">
        <v>0</v>
      </c>
      <c r="F41" s="20">
        <v>0</v>
      </c>
      <c r="G41" s="20">
        <v>0</v>
      </c>
      <c r="H41" s="20">
        <v>0</v>
      </c>
    </row>
    <row r="42" spans="1:8" x14ac:dyDescent="0.25">
      <c r="A42" s="20" t="s">
        <v>316</v>
      </c>
      <c r="B42" s="24">
        <v>42214</v>
      </c>
      <c r="C42" s="20">
        <v>40</v>
      </c>
      <c r="D42" s="20">
        <v>5</v>
      </c>
      <c r="E42" s="20">
        <v>0</v>
      </c>
      <c r="F42" s="20">
        <v>0</v>
      </c>
      <c r="G42" s="20">
        <v>0</v>
      </c>
      <c r="H42" s="20">
        <v>0</v>
      </c>
    </row>
    <row r="43" spans="1:8" x14ac:dyDescent="0.25">
      <c r="A43" s="20" t="s">
        <v>316</v>
      </c>
      <c r="B43" s="24">
        <v>42236</v>
      </c>
      <c r="C43" s="20">
        <v>40</v>
      </c>
      <c r="D43" s="20">
        <v>5</v>
      </c>
      <c r="E43" s="20">
        <v>0</v>
      </c>
      <c r="F43" s="20">
        <v>0</v>
      </c>
      <c r="G43" s="20">
        <v>0</v>
      </c>
      <c r="H43" s="20">
        <v>0</v>
      </c>
    </row>
    <row r="44" spans="1:8" x14ac:dyDescent="0.25">
      <c r="A44" s="20"/>
      <c r="B44" s="20"/>
      <c r="C44" s="20"/>
      <c r="D44" s="20"/>
      <c r="E44" s="20"/>
      <c r="F44" s="20"/>
      <c r="G44" s="20"/>
      <c r="H44" s="20"/>
    </row>
    <row r="45" spans="1:8" x14ac:dyDescent="0.25">
      <c r="A45" s="20"/>
      <c r="B45" s="20"/>
      <c r="C45" s="20"/>
      <c r="D45" s="20"/>
      <c r="E45" s="20"/>
      <c r="F45" s="20"/>
      <c r="G45" s="20"/>
      <c r="H45" s="20"/>
    </row>
    <row r="46" spans="1:8" x14ac:dyDescent="0.25">
      <c r="A46" s="20" t="s">
        <v>319</v>
      </c>
      <c r="B46" s="24">
        <v>39934</v>
      </c>
      <c r="C46" s="20">
        <v>60</v>
      </c>
      <c r="D46" s="20">
        <v>5</v>
      </c>
      <c r="E46" s="20">
        <v>0</v>
      </c>
      <c r="F46" s="20">
        <v>0</v>
      </c>
      <c r="G46" s="20">
        <v>0</v>
      </c>
      <c r="H46" s="20">
        <v>0</v>
      </c>
    </row>
    <row r="47" spans="1:8" x14ac:dyDescent="0.25">
      <c r="A47" s="20" t="s">
        <v>319</v>
      </c>
      <c r="B47" s="24">
        <v>39965</v>
      </c>
      <c r="C47" s="20">
        <v>55</v>
      </c>
      <c r="D47" s="20">
        <v>5</v>
      </c>
      <c r="E47" s="20">
        <v>0</v>
      </c>
      <c r="F47" s="20">
        <v>0</v>
      </c>
      <c r="G47" s="20">
        <v>0</v>
      </c>
      <c r="H47" s="20">
        <v>0</v>
      </c>
    </row>
    <row r="48" spans="1:8" x14ac:dyDescent="0.25">
      <c r="A48" s="20" t="s">
        <v>319</v>
      </c>
      <c r="B48" s="24">
        <v>39995</v>
      </c>
      <c r="C48" s="20">
        <v>55</v>
      </c>
      <c r="D48" s="20">
        <v>5</v>
      </c>
      <c r="E48" s="20">
        <v>0</v>
      </c>
      <c r="F48" s="20">
        <v>0</v>
      </c>
      <c r="G48" s="20">
        <v>0</v>
      </c>
      <c r="H48" s="20">
        <v>0</v>
      </c>
    </row>
    <row r="49" spans="1:8" x14ac:dyDescent="0.25">
      <c r="A49" s="20" t="s">
        <v>327</v>
      </c>
      <c r="B49" s="24">
        <v>40299</v>
      </c>
      <c r="C49" s="20">
        <v>60</v>
      </c>
      <c r="D49" s="20">
        <v>5</v>
      </c>
      <c r="E49" s="20">
        <v>0</v>
      </c>
      <c r="F49" s="20">
        <v>0</v>
      </c>
      <c r="G49" s="20">
        <v>0</v>
      </c>
      <c r="H49" s="20">
        <v>0</v>
      </c>
    </row>
    <row r="50" spans="1:8" x14ac:dyDescent="0.25">
      <c r="A50" s="20" t="s">
        <v>327</v>
      </c>
      <c r="B50" s="24">
        <v>40330</v>
      </c>
      <c r="C50" s="20">
        <v>55</v>
      </c>
      <c r="D50" s="20">
        <v>5</v>
      </c>
      <c r="E50" s="20">
        <v>0</v>
      </c>
      <c r="F50" s="20">
        <v>0</v>
      </c>
      <c r="G50" s="20">
        <v>0</v>
      </c>
      <c r="H50" s="20">
        <v>0</v>
      </c>
    </row>
    <row r="51" spans="1:8" x14ac:dyDescent="0.25">
      <c r="A51" s="20" t="s">
        <v>327</v>
      </c>
      <c r="B51" s="24">
        <v>40360</v>
      </c>
      <c r="C51" s="20">
        <v>55</v>
      </c>
      <c r="D51" s="20">
        <v>5</v>
      </c>
      <c r="E51" s="20">
        <v>0</v>
      </c>
      <c r="F51" s="20">
        <v>0</v>
      </c>
      <c r="G51" s="20">
        <v>0</v>
      </c>
      <c r="H51" s="20">
        <v>0</v>
      </c>
    </row>
    <row r="52" spans="1:8" x14ac:dyDescent="0.25">
      <c r="A52" s="20" t="s">
        <v>330</v>
      </c>
      <c r="B52" s="24">
        <v>40664</v>
      </c>
      <c r="C52" s="20">
        <v>60</v>
      </c>
      <c r="D52" s="20">
        <v>5</v>
      </c>
      <c r="E52" s="20">
        <v>0</v>
      </c>
      <c r="F52" s="20">
        <v>0</v>
      </c>
      <c r="G52" s="20">
        <v>0</v>
      </c>
      <c r="H52" s="20">
        <v>0</v>
      </c>
    </row>
    <row r="53" spans="1:8" x14ac:dyDescent="0.25">
      <c r="A53" s="20" t="s">
        <v>330</v>
      </c>
      <c r="B53" s="24">
        <v>40695</v>
      </c>
      <c r="C53" s="20">
        <v>55</v>
      </c>
      <c r="D53" s="20">
        <v>5</v>
      </c>
      <c r="E53" s="20">
        <v>0</v>
      </c>
      <c r="F53" s="20">
        <v>0</v>
      </c>
      <c r="G53" s="20">
        <v>0</v>
      </c>
      <c r="H53" s="20">
        <v>0</v>
      </c>
    </row>
    <row r="54" spans="1:8" x14ac:dyDescent="0.25">
      <c r="A54" s="20" t="s">
        <v>330</v>
      </c>
      <c r="B54" s="24">
        <v>40725</v>
      </c>
      <c r="C54" s="20">
        <v>55</v>
      </c>
      <c r="D54" s="20">
        <v>5</v>
      </c>
      <c r="E54" s="20">
        <v>0</v>
      </c>
      <c r="F54" s="20">
        <v>0</v>
      </c>
      <c r="G54" s="20">
        <v>0</v>
      </c>
      <c r="H54" s="20">
        <v>0</v>
      </c>
    </row>
    <row r="55" spans="1:8" x14ac:dyDescent="0.25">
      <c r="A55" s="20" t="s">
        <v>333</v>
      </c>
      <c r="B55" s="24">
        <v>41030</v>
      </c>
      <c r="C55" s="20">
        <v>60</v>
      </c>
      <c r="D55" s="20">
        <v>5</v>
      </c>
      <c r="E55" s="20">
        <v>0</v>
      </c>
      <c r="F55" s="20">
        <v>0</v>
      </c>
      <c r="G55" s="20">
        <v>0</v>
      </c>
      <c r="H55" s="20">
        <v>0</v>
      </c>
    </row>
    <row r="56" spans="1:8" x14ac:dyDescent="0.25">
      <c r="A56" s="20" t="s">
        <v>333</v>
      </c>
      <c r="B56" s="24">
        <v>41061</v>
      </c>
      <c r="C56" s="20">
        <v>55</v>
      </c>
      <c r="D56" s="20">
        <v>5</v>
      </c>
      <c r="E56" s="20">
        <v>0</v>
      </c>
      <c r="F56" s="20">
        <v>0</v>
      </c>
      <c r="G56" s="20">
        <v>0</v>
      </c>
      <c r="H56" s="20">
        <v>0</v>
      </c>
    </row>
    <row r="57" spans="1:8" x14ac:dyDescent="0.25">
      <c r="A57" s="20" t="s">
        <v>333</v>
      </c>
      <c r="B57" s="24">
        <v>41091</v>
      </c>
      <c r="C57" s="20">
        <v>55</v>
      </c>
      <c r="D57" s="20">
        <v>5</v>
      </c>
      <c r="E57" s="20">
        <v>0</v>
      </c>
      <c r="F57" s="20">
        <v>0</v>
      </c>
      <c r="G57" s="20">
        <v>0</v>
      </c>
      <c r="H57" s="20">
        <v>0</v>
      </c>
    </row>
    <row r="58" spans="1:8" x14ac:dyDescent="0.25">
      <c r="A58" s="20" t="s">
        <v>336</v>
      </c>
      <c r="B58" s="24">
        <v>41395</v>
      </c>
      <c r="C58" s="20">
        <v>60</v>
      </c>
      <c r="D58" s="20">
        <v>5</v>
      </c>
      <c r="E58" s="20">
        <v>0</v>
      </c>
      <c r="F58" s="20">
        <v>0</v>
      </c>
      <c r="G58" s="20">
        <v>0</v>
      </c>
      <c r="H58" s="20">
        <v>0</v>
      </c>
    </row>
    <row r="59" spans="1:8" x14ac:dyDescent="0.25">
      <c r="A59" s="20" t="s">
        <v>336</v>
      </c>
      <c r="B59" s="24">
        <v>41426</v>
      </c>
      <c r="C59" s="20">
        <v>55</v>
      </c>
      <c r="D59" s="20">
        <v>5</v>
      </c>
      <c r="E59" s="20">
        <v>0</v>
      </c>
      <c r="F59" s="20">
        <v>0</v>
      </c>
      <c r="G59" s="20">
        <v>0</v>
      </c>
      <c r="H59" s="20">
        <v>0</v>
      </c>
    </row>
    <row r="60" spans="1:8" x14ac:dyDescent="0.25">
      <c r="A60" s="20" t="s">
        <v>336</v>
      </c>
      <c r="B60" s="24">
        <v>41456</v>
      </c>
      <c r="C60" s="20">
        <v>55</v>
      </c>
      <c r="D60" s="20">
        <v>5</v>
      </c>
      <c r="E60" s="20">
        <v>0</v>
      </c>
      <c r="F60" s="20">
        <v>0</v>
      </c>
      <c r="G60" s="20">
        <v>0</v>
      </c>
      <c r="H60" s="20">
        <v>0</v>
      </c>
    </row>
    <row r="61" spans="1:8" x14ac:dyDescent="0.25">
      <c r="A61" s="20" t="s">
        <v>339</v>
      </c>
      <c r="B61" s="24">
        <v>41760</v>
      </c>
      <c r="C61" s="20">
        <v>60</v>
      </c>
      <c r="D61" s="20">
        <v>5</v>
      </c>
      <c r="E61" s="20">
        <v>0</v>
      </c>
      <c r="F61" s="20">
        <v>0</v>
      </c>
      <c r="G61" s="20">
        <v>0</v>
      </c>
      <c r="H61" s="20">
        <v>0</v>
      </c>
    </row>
    <row r="62" spans="1:8" x14ac:dyDescent="0.25">
      <c r="A62" s="20" t="s">
        <v>339</v>
      </c>
      <c r="B62" s="24">
        <v>41791</v>
      </c>
      <c r="C62" s="20">
        <v>55</v>
      </c>
      <c r="D62" s="20">
        <v>5</v>
      </c>
      <c r="E62" s="20">
        <v>0</v>
      </c>
      <c r="F62" s="20">
        <v>0</v>
      </c>
      <c r="G62" s="20">
        <v>0</v>
      </c>
      <c r="H62" s="20">
        <v>0</v>
      </c>
    </row>
    <row r="63" spans="1:8" x14ac:dyDescent="0.25">
      <c r="A63" s="20" t="s">
        <v>339</v>
      </c>
      <c r="B63" s="24">
        <v>41821</v>
      </c>
      <c r="C63" s="20">
        <v>55</v>
      </c>
      <c r="D63" s="20">
        <v>5</v>
      </c>
      <c r="E63" s="20">
        <v>0</v>
      </c>
      <c r="F63" s="20">
        <v>0</v>
      </c>
      <c r="G63" s="20">
        <v>0</v>
      </c>
      <c r="H63" s="20">
        <v>0</v>
      </c>
    </row>
    <row r="64" spans="1:8" x14ac:dyDescent="0.25">
      <c r="A64" s="20" t="s">
        <v>342</v>
      </c>
      <c r="B64" s="24">
        <v>42125</v>
      </c>
      <c r="C64" s="20">
        <v>60</v>
      </c>
      <c r="D64" s="20">
        <v>5</v>
      </c>
      <c r="E64" s="20">
        <v>0</v>
      </c>
      <c r="F64" s="20">
        <v>0</v>
      </c>
      <c r="G64" s="20">
        <v>0</v>
      </c>
      <c r="H64" s="20">
        <v>0</v>
      </c>
    </row>
    <row r="65" spans="1:8" x14ac:dyDescent="0.25">
      <c r="A65" s="20" t="s">
        <v>342</v>
      </c>
      <c r="B65" s="24">
        <v>42156</v>
      </c>
      <c r="C65" s="20">
        <v>55</v>
      </c>
      <c r="D65" s="20">
        <v>5</v>
      </c>
      <c r="E65" s="20">
        <v>0</v>
      </c>
      <c r="F65" s="20">
        <v>0</v>
      </c>
      <c r="G65" s="20">
        <v>0</v>
      </c>
      <c r="H65" s="20">
        <v>0</v>
      </c>
    </row>
    <row r="66" spans="1:8" x14ac:dyDescent="0.25">
      <c r="A66" s="20" t="s">
        <v>342</v>
      </c>
      <c r="B66" s="24">
        <v>42186</v>
      </c>
      <c r="C66" s="20">
        <v>55</v>
      </c>
      <c r="D66" s="20">
        <v>5</v>
      </c>
      <c r="E66" s="20">
        <v>0</v>
      </c>
      <c r="F66" s="20">
        <v>0</v>
      </c>
      <c r="G66" s="20">
        <v>0</v>
      </c>
      <c r="H66" s="20">
        <v>0</v>
      </c>
    </row>
    <row r="67" spans="1:8" x14ac:dyDescent="0.25">
      <c r="A67" s="20" t="s">
        <v>345</v>
      </c>
      <c r="B67" s="24">
        <v>42491</v>
      </c>
      <c r="C67" s="20">
        <v>60</v>
      </c>
      <c r="D67" s="20">
        <v>5</v>
      </c>
      <c r="E67" s="20">
        <v>0</v>
      </c>
      <c r="F67" s="20">
        <v>0</v>
      </c>
      <c r="G67" s="20">
        <v>0</v>
      </c>
      <c r="H67" s="20">
        <v>0</v>
      </c>
    </row>
    <row r="68" spans="1:8" x14ac:dyDescent="0.25">
      <c r="A68" s="20" t="s">
        <v>345</v>
      </c>
      <c r="B68" s="24">
        <v>42522</v>
      </c>
      <c r="C68" s="20">
        <v>55</v>
      </c>
      <c r="D68" s="20">
        <v>5</v>
      </c>
      <c r="E68" s="20">
        <v>0</v>
      </c>
      <c r="F68" s="20">
        <v>0</v>
      </c>
      <c r="G68" s="20">
        <v>0</v>
      </c>
      <c r="H68" s="20">
        <v>0</v>
      </c>
    </row>
    <row r="69" spans="1:8" x14ac:dyDescent="0.25">
      <c r="A69" s="20" t="s">
        <v>345</v>
      </c>
      <c r="B69" s="24">
        <v>42552</v>
      </c>
      <c r="C69" s="20">
        <v>55</v>
      </c>
      <c r="D69" s="20">
        <v>5</v>
      </c>
      <c r="E69" s="20">
        <v>0</v>
      </c>
      <c r="F69" s="20">
        <v>0</v>
      </c>
      <c r="G69" s="20">
        <v>0</v>
      </c>
      <c r="H69" s="20">
        <v>0</v>
      </c>
    </row>
    <row r="70" spans="1:8" x14ac:dyDescent="0.25">
      <c r="A70" s="20" t="s">
        <v>348</v>
      </c>
      <c r="B70" s="24">
        <v>42856</v>
      </c>
      <c r="C70" s="20">
        <v>60</v>
      </c>
      <c r="D70" s="20">
        <v>5</v>
      </c>
      <c r="E70" s="20">
        <v>0</v>
      </c>
      <c r="F70" s="20">
        <v>0</v>
      </c>
      <c r="G70" s="20">
        <v>0</v>
      </c>
      <c r="H70" s="20">
        <v>0</v>
      </c>
    </row>
    <row r="71" spans="1:8" x14ac:dyDescent="0.25">
      <c r="A71" s="20" t="s">
        <v>348</v>
      </c>
      <c r="B71" s="24">
        <v>42887</v>
      </c>
      <c r="C71" s="20">
        <v>55</v>
      </c>
      <c r="D71" s="20">
        <v>5</v>
      </c>
      <c r="E71" s="20">
        <v>0</v>
      </c>
      <c r="F71" s="20">
        <v>0</v>
      </c>
      <c r="G71" s="20">
        <v>0</v>
      </c>
      <c r="H71" s="20">
        <v>0</v>
      </c>
    </row>
    <row r="72" spans="1:8" x14ac:dyDescent="0.25">
      <c r="A72" s="20" t="s">
        <v>348</v>
      </c>
      <c r="B72" s="24">
        <v>42917</v>
      </c>
      <c r="C72" s="20">
        <v>55</v>
      </c>
      <c r="D72" s="20">
        <v>5</v>
      </c>
      <c r="E72" s="20">
        <v>0</v>
      </c>
      <c r="F72" s="20">
        <v>0</v>
      </c>
      <c r="G72" s="20">
        <v>0</v>
      </c>
      <c r="H72" s="20">
        <v>0</v>
      </c>
    </row>
    <row r="73" spans="1:8" x14ac:dyDescent="0.25">
      <c r="A73" s="20" t="s">
        <v>351</v>
      </c>
      <c r="B73" s="24">
        <v>43221</v>
      </c>
      <c r="C73" s="20">
        <v>60</v>
      </c>
      <c r="D73" s="20">
        <v>5</v>
      </c>
      <c r="E73" s="20">
        <v>0</v>
      </c>
      <c r="F73" s="20">
        <v>0</v>
      </c>
      <c r="G73" s="20">
        <v>0</v>
      </c>
      <c r="H73" s="20">
        <v>0</v>
      </c>
    </row>
    <row r="74" spans="1:8" x14ac:dyDescent="0.25">
      <c r="A74" s="20" t="s">
        <v>351</v>
      </c>
      <c r="B74" s="24">
        <v>43252</v>
      </c>
      <c r="C74" s="20">
        <v>55</v>
      </c>
      <c r="D74" s="20">
        <v>5</v>
      </c>
      <c r="E74" s="20">
        <v>0</v>
      </c>
      <c r="F74" s="20">
        <v>0</v>
      </c>
      <c r="G74" s="20">
        <v>0</v>
      </c>
      <c r="H74" s="20">
        <v>0</v>
      </c>
    </row>
    <row r="75" spans="1:8" x14ac:dyDescent="0.25">
      <c r="A75" s="20" t="s">
        <v>351</v>
      </c>
      <c r="B75" s="24">
        <v>43282</v>
      </c>
      <c r="C75" s="20">
        <v>55</v>
      </c>
      <c r="D75" s="20">
        <v>5</v>
      </c>
      <c r="E75" s="20">
        <v>0</v>
      </c>
      <c r="F75" s="20">
        <v>0</v>
      </c>
      <c r="G75" s="20">
        <v>0</v>
      </c>
      <c r="H75" s="20">
        <v>0</v>
      </c>
    </row>
    <row r="76" spans="1:8" x14ac:dyDescent="0.25">
      <c r="A76" s="20" t="s">
        <v>354</v>
      </c>
      <c r="B76" s="24">
        <v>43586</v>
      </c>
      <c r="C76" s="20">
        <v>60</v>
      </c>
      <c r="D76" s="20">
        <v>5</v>
      </c>
      <c r="E76" s="20">
        <v>0</v>
      </c>
      <c r="F76" s="20">
        <v>0</v>
      </c>
      <c r="G76" s="20">
        <v>0</v>
      </c>
      <c r="H76" s="20">
        <v>0</v>
      </c>
    </row>
    <row r="77" spans="1:8" x14ac:dyDescent="0.25">
      <c r="A77" s="20" t="s">
        <v>354</v>
      </c>
      <c r="B77" s="24">
        <v>43617</v>
      </c>
      <c r="C77" s="20">
        <v>55</v>
      </c>
      <c r="D77" s="20">
        <v>5</v>
      </c>
      <c r="E77" s="20">
        <v>0</v>
      </c>
      <c r="F77" s="20">
        <v>0</v>
      </c>
      <c r="G77" s="20">
        <v>0</v>
      </c>
      <c r="H77" s="20">
        <v>0</v>
      </c>
    </row>
    <row r="78" spans="1:8" x14ac:dyDescent="0.25">
      <c r="A78" s="20" t="s">
        <v>354</v>
      </c>
      <c r="B78" s="24">
        <v>43647</v>
      </c>
      <c r="C78" s="20">
        <v>55</v>
      </c>
      <c r="D78" s="20">
        <v>5</v>
      </c>
      <c r="E78" s="20">
        <v>0</v>
      </c>
      <c r="F78" s="20">
        <v>0</v>
      </c>
      <c r="G78" s="20">
        <v>0</v>
      </c>
      <c r="H78" s="20">
        <v>0</v>
      </c>
    </row>
    <row r="79" spans="1:8" x14ac:dyDescent="0.25">
      <c r="A79" s="20" t="s">
        <v>357</v>
      </c>
      <c r="B79" s="24">
        <v>43952</v>
      </c>
      <c r="C79" s="20">
        <v>60</v>
      </c>
      <c r="D79" s="20">
        <v>5</v>
      </c>
      <c r="E79" s="20">
        <v>0</v>
      </c>
      <c r="F79" s="20">
        <v>0</v>
      </c>
      <c r="G79" s="20">
        <v>0</v>
      </c>
      <c r="H79" s="20">
        <v>0</v>
      </c>
    </row>
    <row r="80" spans="1:8" x14ac:dyDescent="0.25">
      <c r="A80" s="20" t="s">
        <v>357</v>
      </c>
      <c r="B80" s="24">
        <v>43983</v>
      </c>
      <c r="C80" s="20">
        <v>55</v>
      </c>
      <c r="D80" s="20">
        <v>5</v>
      </c>
      <c r="E80" s="20">
        <v>0</v>
      </c>
      <c r="F80" s="20">
        <v>0</v>
      </c>
      <c r="G80" s="20">
        <v>0</v>
      </c>
      <c r="H80" s="20">
        <v>0</v>
      </c>
    </row>
    <row r="81" spans="1:8" x14ac:dyDescent="0.25">
      <c r="A81" s="20" t="s">
        <v>357</v>
      </c>
      <c r="B81" s="24">
        <v>44013</v>
      </c>
      <c r="C81" s="20">
        <v>55</v>
      </c>
      <c r="D81" s="20">
        <v>5</v>
      </c>
      <c r="E81" s="20">
        <v>0</v>
      </c>
      <c r="F81" s="20">
        <v>0</v>
      </c>
      <c r="G81" s="20">
        <v>0</v>
      </c>
      <c r="H81" s="20">
        <v>0</v>
      </c>
    </row>
    <row r="82" spans="1:8" x14ac:dyDescent="0.25">
      <c r="A82" s="20" t="s">
        <v>360</v>
      </c>
      <c r="B82" s="24">
        <v>44317</v>
      </c>
      <c r="C82" s="20">
        <v>60</v>
      </c>
      <c r="D82" s="20">
        <v>5</v>
      </c>
      <c r="E82" s="20">
        <v>0</v>
      </c>
      <c r="F82" s="20">
        <v>0</v>
      </c>
      <c r="G82" s="20">
        <v>0</v>
      </c>
      <c r="H82" s="20">
        <v>0</v>
      </c>
    </row>
    <row r="83" spans="1:8" x14ac:dyDescent="0.25">
      <c r="A83" s="20" t="s">
        <v>360</v>
      </c>
      <c r="B83" s="24">
        <v>44348</v>
      </c>
      <c r="C83" s="20">
        <v>55</v>
      </c>
      <c r="D83" s="20">
        <v>5</v>
      </c>
      <c r="E83" s="20">
        <v>0</v>
      </c>
      <c r="F83" s="20">
        <v>0</v>
      </c>
      <c r="G83" s="20">
        <v>0</v>
      </c>
      <c r="H83" s="20">
        <v>0</v>
      </c>
    </row>
    <row r="84" spans="1:8" x14ac:dyDescent="0.25">
      <c r="A84" s="20" t="s">
        <v>360</v>
      </c>
      <c r="B84" s="24">
        <v>44378</v>
      </c>
      <c r="C84" s="20">
        <v>55</v>
      </c>
      <c r="D84" s="20">
        <v>5</v>
      </c>
      <c r="E84" s="20">
        <v>0</v>
      </c>
      <c r="F84" s="20">
        <v>0</v>
      </c>
      <c r="G84" s="20">
        <v>0</v>
      </c>
      <c r="H84" s="20"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313F-4C01-4A59-9765-339F9B677E7B}">
  <sheetPr codeName="Sheet19"/>
  <dimension ref="A1:D2"/>
  <sheetViews>
    <sheetView workbookViewId="0">
      <selection activeCell="B3" sqref="B3"/>
    </sheetView>
  </sheetViews>
  <sheetFormatPr defaultRowHeight="15" x14ac:dyDescent="0.25"/>
  <cols>
    <col min="3" max="3" width="22.85546875" customWidth="1"/>
  </cols>
  <sheetData>
    <row r="1" spans="1:4" x14ac:dyDescent="0.25">
      <c r="A1" t="s">
        <v>49</v>
      </c>
      <c r="B1" t="s">
        <v>113</v>
      </c>
      <c r="C1" t="s">
        <v>219</v>
      </c>
      <c r="D1" t="s">
        <v>34</v>
      </c>
    </row>
    <row r="2" spans="1:4" x14ac:dyDescent="0.25">
      <c r="A2" t="s">
        <v>44</v>
      </c>
      <c r="B2">
        <v>0</v>
      </c>
      <c r="C2">
        <v>4</v>
      </c>
      <c r="D2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29"/>
  <sheetViews>
    <sheetView workbookViewId="0">
      <selection activeCell="A2" sqref="A2:XFD9"/>
    </sheetView>
  </sheetViews>
  <sheetFormatPr defaultRowHeight="15" x14ac:dyDescent="0.25"/>
  <cols>
    <col min="1" max="1" width="15.42578125" customWidth="1"/>
    <col min="6" max="6" width="15.42578125" customWidth="1"/>
    <col min="8" max="8" width="14.140625" customWidth="1"/>
    <col min="9" max="9" width="14.7109375" customWidth="1"/>
    <col min="10" max="10" width="15.7109375" customWidth="1"/>
  </cols>
  <sheetData>
    <row r="1" spans="1:13" x14ac:dyDescent="0.25">
      <c r="A1" t="s">
        <v>67</v>
      </c>
      <c r="B1" s="8" t="s">
        <v>114</v>
      </c>
      <c r="C1" s="8" t="s">
        <v>115</v>
      </c>
      <c r="D1" s="8" t="s">
        <v>116</v>
      </c>
      <c r="E1" s="8" t="s">
        <v>117</v>
      </c>
      <c r="F1" s="8" t="s">
        <v>118</v>
      </c>
      <c r="G1" s="8" t="s">
        <v>119</v>
      </c>
      <c r="H1" s="8" t="s">
        <v>121</v>
      </c>
      <c r="I1" s="8" t="s">
        <v>120</v>
      </c>
      <c r="J1" s="8" t="s">
        <v>122</v>
      </c>
      <c r="K1" s="8" t="s">
        <v>123</v>
      </c>
      <c r="M1" s="8" t="s">
        <v>2</v>
      </c>
    </row>
    <row r="3" spans="1:13" x14ac:dyDescent="0.25">
      <c r="A3" s="20" t="s">
        <v>278</v>
      </c>
      <c r="B3" s="20">
        <v>1.0009999999999999</v>
      </c>
      <c r="C3" s="20">
        <v>1</v>
      </c>
      <c r="D3" s="20">
        <v>1.0009999999999999</v>
      </c>
      <c r="E3" s="20">
        <v>3</v>
      </c>
      <c r="F3" s="20">
        <v>5</v>
      </c>
      <c r="G3" s="20">
        <v>23</v>
      </c>
      <c r="H3" s="20">
        <v>-7</v>
      </c>
      <c r="I3" s="20">
        <v>-4</v>
      </c>
      <c r="J3" s="20">
        <v>1</v>
      </c>
      <c r="K3" s="20">
        <v>0</v>
      </c>
    </row>
    <row r="4" spans="1:13" x14ac:dyDescent="0.25">
      <c r="A4" s="20" t="s">
        <v>285</v>
      </c>
      <c r="B4" s="20">
        <v>1.0009999999999999</v>
      </c>
      <c r="C4" s="20">
        <v>1</v>
      </c>
      <c r="D4" s="20">
        <v>1.0009999999999999</v>
      </c>
      <c r="E4" s="20">
        <v>3</v>
      </c>
      <c r="F4" s="20">
        <v>5</v>
      </c>
      <c r="G4" s="20">
        <v>23</v>
      </c>
      <c r="H4" s="20">
        <v>-7</v>
      </c>
      <c r="I4" s="20">
        <v>-4</v>
      </c>
      <c r="J4" s="20">
        <v>1</v>
      </c>
      <c r="K4" s="20">
        <v>0</v>
      </c>
    </row>
    <row r="5" spans="1:13" x14ac:dyDescent="0.25">
      <c r="A5" s="20" t="s">
        <v>288</v>
      </c>
      <c r="B5" s="20">
        <v>1.0009999999999999</v>
      </c>
      <c r="C5" s="20">
        <v>1</v>
      </c>
      <c r="D5" s="20">
        <v>1.0009999999999999</v>
      </c>
      <c r="E5" s="20">
        <v>3</v>
      </c>
      <c r="F5" s="20">
        <v>5</v>
      </c>
      <c r="G5" s="20">
        <v>23</v>
      </c>
      <c r="H5" s="20">
        <v>-7</v>
      </c>
      <c r="I5" s="20">
        <v>-4</v>
      </c>
      <c r="J5" s="20">
        <v>1</v>
      </c>
      <c r="K5" s="20">
        <v>0</v>
      </c>
    </row>
    <row r="6" spans="1:13" x14ac:dyDescent="0.25">
      <c r="A6" s="20" t="s">
        <v>291</v>
      </c>
      <c r="B6" s="20">
        <v>1.0009999999999999</v>
      </c>
      <c r="C6" s="20">
        <v>1</v>
      </c>
      <c r="D6" s="20">
        <v>1.0009999999999999</v>
      </c>
      <c r="E6" s="20">
        <v>3</v>
      </c>
      <c r="F6" s="20">
        <v>5</v>
      </c>
      <c r="G6" s="20">
        <v>23</v>
      </c>
      <c r="H6" s="20">
        <v>-7</v>
      </c>
      <c r="I6" s="20">
        <v>-4</v>
      </c>
      <c r="J6" s="20">
        <v>1</v>
      </c>
      <c r="K6" s="20">
        <v>0</v>
      </c>
    </row>
    <row r="7" spans="1:13" x14ac:dyDescent="0.25">
      <c r="A7" s="20" t="s">
        <v>294</v>
      </c>
      <c r="B7" s="20">
        <v>1.0009999999999999</v>
      </c>
      <c r="C7" s="20">
        <v>1</v>
      </c>
      <c r="D7" s="20">
        <v>1.0009999999999999</v>
      </c>
      <c r="E7" s="20">
        <v>3</v>
      </c>
      <c r="F7" s="20">
        <v>5</v>
      </c>
      <c r="G7" s="20">
        <v>23</v>
      </c>
      <c r="H7" s="20">
        <v>-7</v>
      </c>
      <c r="I7" s="20">
        <v>-4</v>
      </c>
      <c r="J7" s="20">
        <v>1</v>
      </c>
      <c r="K7" s="20">
        <v>0</v>
      </c>
    </row>
    <row r="8" spans="1:13" x14ac:dyDescent="0.25">
      <c r="A8" s="20" t="s">
        <v>297</v>
      </c>
      <c r="B8" s="20">
        <v>1.0009999999999999</v>
      </c>
      <c r="C8" s="20">
        <v>1</v>
      </c>
      <c r="D8" s="20">
        <v>1.0009999999999999</v>
      </c>
      <c r="E8" s="20">
        <v>3</v>
      </c>
      <c r="F8" s="20">
        <v>5</v>
      </c>
      <c r="G8" s="20">
        <v>23</v>
      </c>
      <c r="H8" s="20">
        <v>-7</v>
      </c>
      <c r="I8" s="20">
        <v>-4</v>
      </c>
      <c r="J8" s="20">
        <v>1</v>
      </c>
      <c r="K8" s="20">
        <v>0</v>
      </c>
    </row>
    <row r="9" spans="1:13" x14ac:dyDescent="0.25">
      <c r="A9" s="20" t="s">
        <v>300</v>
      </c>
      <c r="B9" s="20">
        <v>1.0009999999999999</v>
      </c>
      <c r="C9" s="20">
        <v>1</v>
      </c>
      <c r="D9" s="20">
        <v>1.0009999999999999</v>
      </c>
      <c r="E9" s="20">
        <v>3</v>
      </c>
      <c r="F9" s="20">
        <v>5</v>
      </c>
      <c r="G9" s="20">
        <v>23</v>
      </c>
      <c r="H9" s="20">
        <v>-7</v>
      </c>
      <c r="I9" s="20">
        <v>-4</v>
      </c>
      <c r="J9" s="20">
        <v>1</v>
      </c>
      <c r="K9" s="20">
        <v>0</v>
      </c>
    </row>
    <row r="10" spans="1:13" x14ac:dyDescent="0.25">
      <c r="A10" s="20" t="s">
        <v>303</v>
      </c>
      <c r="B10" s="20">
        <v>1.0009999999999999</v>
      </c>
      <c r="C10" s="20">
        <v>1</v>
      </c>
      <c r="D10" s="20">
        <v>1.0009999999999999</v>
      </c>
      <c r="E10" s="20">
        <v>3</v>
      </c>
      <c r="F10" s="20">
        <v>5</v>
      </c>
      <c r="G10" s="20">
        <v>23</v>
      </c>
      <c r="H10" s="20">
        <v>-7</v>
      </c>
      <c r="I10" s="20">
        <v>-4</v>
      </c>
      <c r="J10" s="20">
        <v>1</v>
      </c>
      <c r="K10" s="20">
        <v>0</v>
      </c>
    </row>
    <row r="11" spans="1:13" x14ac:dyDescent="0.25">
      <c r="A11" s="20" t="s">
        <v>306</v>
      </c>
      <c r="B11" s="20">
        <v>1.0009999999999999</v>
      </c>
      <c r="C11" s="20">
        <v>1</v>
      </c>
      <c r="D11" s="20">
        <v>1.0009999999999999</v>
      </c>
      <c r="E11" s="20">
        <v>3</v>
      </c>
      <c r="F11" s="20">
        <v>5</v>
      </c>
      <c r="G11" s="20">
        <v>23</v>
      </c>
      <c r="H11" s="20">
        <v>-7</v>
      </c>
      <c r="I11" s="20">
        <v>-4</v>
      </c>
      <c r="J11" s="20">
        <v>1</v>
      </c>
      <c r="K11" s="20">
        <v>0</v>
      </c>
    </row>
    <row r="12" spans="1:13" x14ac:dyDescent="0.25">
      <c r="A12" s="20" t="s">
        <v>309</v>
      </c>
      <c r="B12" s="20">
        <v>1.0009999999999999</v>
      </c>
      <c r="C12" s="20">
        <v>1</v>
      </c>
      <c r="D12" s="20">
        <v>1.0009999999999999</v>
      </c>
      <c r="E12" s="20">
        <v>3</v>
      </c>
      <c r="F12" s="20">
        <v>5</v>
      </c>
      <c r="G12" s="20">
        <v>23</v>
      </c>
      <c r="H12" s="20">
        <v>-7</v>
      </c>
      <c r="I12" s="20">
        <v>-4</v>
      </c>
      <c r="J12" s="20">
        <v>1</v>
      </c>
      <c r="K12" s="20">
        <v>0</v>
      </c>
    </row>
    <row r="13" spans="1:13" x14ac:dyDescent="0.25">
      <c r="A13" s="20" t="s">
        <v>312</v>
      </c>
      <c r="B13" s="20">
        <v>1.0009999999999999</v>
      </c>
      <c r="C13" s="20">
        <v>1</v>
      </c>
      <c r="D13" s="20">
        <v>1.0009999999999999</v>
      </c>
      <c r="E13" s="20">
        <v>3</v>
      </c>
      <c r="F13" s="20">
        <v>5</v>
      </c>
      <c r="G13" s="20">
        <v>23</v>
      </c>
      <c r="H13" s="20">
        <v>-7</v>
      </c>
      <c r="I13" s="20">
        <v>-4</v>
      </c>
      <c r="J13" s="20">
        <v>1</v>
      </c>
      <c r="K13" s="20">
        <v>0</v>
      </c>
    </row>
    <row r="14" spans="1:13" x14ac:dyDescent="0.25">
      <c r="A14" s="20" t="s">
        <v>315</v>
      </c>
      <c r="B14" s="20">
        <v>1.0009999999999999</v>
      </c>
      <c r="C14" s="20">
        <v>1</v>
      </c>
      <c r="D14" s="20">
        <v>1.0009999999999999</v>
      </c>
      <c r="E14" s="20">
        <v>3</v>
      </c>
      <c r="F14" s="20">
        <v>5</v>
      </c>
      <c r="G14" s="20">
        <v>23</v>
      </c>
      <c r="H14" s="20">
        <v>-7</v>
      </c>
      <c r="I14" s="20">
        <v>-4</v>
      </c>
      <c r="J14" s="20">
        <v>1</v>
      </c>
      <c r="K14" s="20">
        <v>0</v>
      </c>
    </row>
    <row r="15" spans="1:13" x14ac:dyDescent="0.25">
      <c r="A15" s="20" t="s">
        <v>318</v>
      </c>
      <c r="B15" s="20">
        <v>1.0009999999999999</v>
      </c>
      <c r="C15" s="20">
        <v>1</v>
      </c>
      <c r="D15" s="20">
        <v>1.0009999999999999</v>
      </c>
      <c r="E15" s="20">
        <v>3</v>
      </c>
      <c r="F15" s="20">
        <v>5</v>
      </c>
      <c r="G15" s="20">
        <v>23</v>
      </c>
      <c r="H15" s="20">
        <v>-7</v>
      </c>
      <c r="I15" s="20">
        <v>-4</v>
      </c>
      <c r="J15" s="20">
        <v>1</v>
      </c>
      <c r="K15" s="20">
        <v>0</v>
      </c>
    </row>
    <row r="16" spans="1:13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1" x14ac:dyDescent="0.25">
      <c r="A17" s="20" t="s">
        <v>322</v>
      </c>
      <c r="B17" s="20">
        <v>1.0009999999999999</v>
      </c>
      <c r="C17" s="20">
        <v>1</v>
      </c>
      <c r="D17" s="20">
        <v>1.0009999999999999</v>
      </c>
      <c r="E17" s="20">
        <v>3</v>
      </c>
      <c r="F17" s="20">
        <v>5</v>
      </c>
      <c r="G17" s="20">
        <v>23</v>
      </c>
      <c r="H17" s="20">
        <v>-7</v>
      </c>
      <c r="I17" s="20">
        <v>-4</v>
      </c>
      <c r="J17" s="20">
        <v>1</v>
      </c>
      <c r="K17" s="20">
        <v>0</v>
      </c>
    </row>
    <row r="18" spans="1:11" x14ac:dyDescent="0.25">
      <c r="A18" s="20" t="s">
        <v>329</v>
      </c>
      <c r="B18" s="20">
        <v>1.0009999999999999</v>
      </c>
      <c r="C18" s="20">
        <v>1</v>
      </c>
      <c r="D18" s="20">
        <v>1.0009999999999999</v>
      </c>
      <c r="E18" s="20">
        <v>3</v>
      </c>
      <c r="F18" s="20">
        <v>5</v>
      </c>
      <c r="G18" s="20">
        <v>23</v>
      </c>
      <c r="H18" s="20">
        <v>-7</v>
      </c>
      <c r="I18" s="20">
        <v>-4</v>
      </c>
      <c r="J18" s="20">
        <v>1</v>
      </c>
      <c r="K18" s="20">
        <v>0</v>
      </c>
    </row>
    <row r="19" spans="1:11" x14ac:dyDescent="0.25">
      <c r="A19" s="20" t="s">
        <v>332</v>
      </c>
      <c r="B19" s="20">
        <v>1.0009999999999999</v>
      </c>
      <c r="C19" s="20">
        <v>1</v>
      </c>
      <c r="D19" s="20">
        <v>1.0009999999999999</v>
      </c>
      <c r="E19" s="20">
        <v>3</v>
      </c>
      <c r="F19" s="20">
        <v>5</v>
      </c>
      <c r="G19" s="20">
        <v>23</v>
      </c>
      <c r="H19" s="20">
        <v>-7</v>
      </c>
      <c r="I19" s="20">
        <v>-4</v>
      </c>
      <c r="J19" s="20">
        <v>1</v>
      </c>
      <c r="K19" s="20">
        <v>0</v>
      </c>
    </row>
    <row r="20" spans="1:11" x14ac:dyDescent="0.25">
      <c r="A20" s="20" t="s">
        <v>335</v>
      </c>
      <c r="B20" s="20">
        <v>1.0009999999999999</v>
      </c>
      <c r="C20" s="20">
        <v>1</v>
      </c>
      <c r="D20" s="20">
        <v>1.0009999999999999</v>
      </c>
      <c r="E20" s="20">
        <v>3</v>
      </c>
      <c r="F20" s="20">
        <v>5</v>
      </c>
      <c r="G20" s="20">
        <v>23</v>
      </c>
      <c r="H20" s="20">
        <v>-7</v>
      </c>
      <c r="I20" s="20">
        <v>-4</v>
      </c>
      <c r="J20" s="20">
        <v>1</v>
      </c>
      <c r="K20" s="20">
        <v>0</v>
      </c>
    </row>
    <row r="21" spans="1:11" x14ac:dyDescent="0.25">
      <c r="A21" s="20" t="s">
        <v>338</v>
      </c>
      <c r="B21" s="20">
        <v>1.0009999999999999</v>
      </c>
      <c r="C21" s="20">
        <v>1</v>
      </c>
      <c r="D21" s="20">
        <v>1.0009999999999999</v>
      </c>
      <c r="E21" s="20">
        <v>3</v>
      </c>
      <c r="F21" s="20">
        <v>5</v>
      </c>
      <c r="G21" s="20">
        <v>23</v>
      </c>
      <c r="H21" s="20">
        <v>-7</v>
      </c>
      <c r="I21" s="20">
        <v>-4</v>
      </c>
      <c r="J21" s="20">
        <v>1</v>
      </c>
      <c r="K21" s="20">
        <v>0</v>
      </c>
    </row>
    <row r="22" spans="1:11" x14ac:dyDescent="0.25">
      <c r="A22" s="20" t="s">
        <v>341</v>
      </c>
      <c r="B22" s="20">
        <v>1.0009999999999999</v>
      </c>
      <c r="C22" s="20">
        <v>1</v>
      </c>
      <c r="D22" s="20">
        <v>1.0009999999999999</v>
      </c>
      <c r="E22" s="20">
        <v>3</v>
      </c>
      <c r="F22" s="20">
        <v>5</v>
      </c>
      <c r="G22" s="20">
        <v>23</v>
      </c>
      <c r="H22" s="20">
        <v>-7</v>
      </c>
      <c r="I22" s="20">
        <v>-4</v>
      </c>
      <c r="J22" s="20">
        <v>1</v>
      </c>
      <c r="K22" s="20">
        <v>0</v>
      </c>
    </row>
    <row r="23" spans="1:11" x14ac:dyDescent="0.25">
      <c r="A23" s="20" t="s">
        <v>344</v>
      </c>
      <c r="B23" s="20">
        <v>1.0009999999999999</v>
      </c>
      <c r="C23" s="20">
        <v>1</v>
      </c>
      <c r="D23" s="20">
        <v>1.0009999999999999</v>
      </c>
      <c r="E23" s="20">
        <v>3</v>
      </c>
      <c r="F23" s="20">
        <v>5</v>
      </c>
      <c r="G23" s="20">
        <v>23</v>
      </c>
      <c r="H23" s="20">
        <v>-7</v>
      </c>
      <c r="I23" s="20">
        <v>-4</v>
      </c>
      <c r="J23" s="20">
        <v>1</v>
      </c>
      <c r="K23" s="20">
        <v>0</v>
      </c>
    </row>
    <row r="24" spans="1:11" x14ac:dyDescent="0.25">
      <c r="A24" s="20" t="s">
        <v>347</v>
      </c>
      <c r="B24" s="20">
        <v>1.0009999999999999</v>
      </c>
      <c r="C24" s="20">
        <v>1</v>
      </c>
      <c r="D24" s="20">
        <v>1.0009999999999999</v>
      </c>
      <c r="E24" s="20">
        <v>3</v>
      </c>
      <c r="F24" s="20">
        <v>5</v>
      </c>
      <c r="G24" s="20">
        <v>23</v>
      </c>
      <c r="H24" s="20">
        <v>-7</v>
      </c>
      <c r="I24" s="20">
        <v>-4</v>
      </c>
      <c r="J24" s="20">
        <v>1</v>
      </c>
      <c r="K24" s="20">
        <v>0</v>
      </c>
    </row>
    <row r="25" spans="1:11" x14ac:dyDescent="0.25">
      <c r="A25" s="20" t="s">
        <v>350</v>
      </c>
      <c r="B25" s="20">
        <v>1.0009999999999999</v>
      </c>
      <c r="C25" s="20">
        <v>1</v>
      </c>
      <c r="D25" s="20">
        <v>1.0009999999999999</v>
      </c>
      <c r="E25" s="20">
        <v>3</v>
      </c>
      <c r="F25" s="20">
        <v>5</v>
      </c>
      <c r="G25" s="20">
        <v>23</v>
      </c>
      <c r="H25" s="20">
        <v>-7</v>
      </c>
      <c r="I25" s="20">
        <v>-4</v>
      </c>
      <c r="J25" s="20">
        <v>1</v>
      </c>
      <c r="K25" s="20">
        <v>0</v>
      </c>
    </row>
    <row r="26" spans="1:11" x14ac:dyDescent="0.25">
      <c r="A26" s="20" t="s">
        <v>353</v>
      </c>
      <c r="B26" s="20">
        <v>1.0009999999999999</v>
      </c>
      <c r="C26" s="20">
        <v>1</v>
      </c>
      <c r="D26" s="20">
        <v>1.0009999999999999</v>
      </c>
      <c r="E26" s="20">
        <v>3</v>
      </c>
      <c r="F26" s="20">
        <v>5</v>
      </c>
      <c r="G26" s="20">
        <v>23</v>
      </c>
      <c r="H26" s="20">
        <v>-7</v>
      </c>
      <c r="I26" s="20">
        <v>-4</v>
      </c>
      <c r="J26" s="20">
        <v>1</v>
      </c>
      <c r="K26" s="20">
        <v>0</v>
      </c>
    </row>
    <row r="27" spans="1:11" x14ac:dyDescent="0.25">
      <c r="A27" s="20" t="s">
        <v>356</v>
      </c>
      <c r="B27" s="20">
        <v>1.0009999999999999</v>
      </c>
      <c r="C27" s="20">
        <v>1</v>
      </c>
      <c r="D27" s="20">
        <v>1.0009999999999999</v>
      </c>
      <c r="E27" s="20">
        <v>3</v>
      </c>
      <c r="F27" s="20">
        <v>5</v>
      </c>
      <c r="G27" s="20">
        <v>23</v>
      </c>
      <c r="H27" s="20">
        <v>-7</v>
      </c>
      <c r="I27" s="20">
        <v>-4</v>
      </c>
      <c r="J27" s="20">
        <v>1</v>
      </c>
      <c r="K27" s="20">
        <v>0</v>
      </c>
    </row>
    <row r="28" spans="1:11" x14ac:dyDescent="0.25">
      <c r="A28" s="20" t="s">
        <v>359</v>
      </c>
      <c r="B28" s="20">
        <v>1.0009999999999999</v>
      </c>
      <c r="C28" s="20">
        <v>1</v>
      </c>
      <c r="D28" s="20">
        <v>1.0009999999999999</v>
      </c>
      <c r="E28" s="20">
        <v>3</v>
      </c>
      <c r="F28" s="20">
        <v>5</v>
      </c>
      <c r="G28" s="20">
        <v>23</v>
      </c>
      <c r="H28" s="20">
        <v>-7</v>
      </c>
      <c r="I28" s="20">
        <v>-4</v>
      </c>
      <c r="J28" s="20">
        <v>1</v>
      </c>
      <c r="K28" s="20">
        <v>0</v>
      </c>
    </row>
    <row r="29" spans="1:11" x14ac:dyDescent="0.25">
      <c r="A29" s="20" t="s">
        <v>362</v>
      </c>
      <c r="B29" s="20">
        <v>1.0009999999999999</v>
      </c>
      <c r="C29" s="20">
        <v>1</v>
      </c>
      <c r="D29" s="20">
        <v>1.0009999999999999</v>
      </c>
      <c r="E29" s="20">
        <v>3</v>
      </c>
      <c r="F29" s="20">
        <v>5</v>
      </c>
      <c r="G29" s="20">
        <v>23</v>
      </c>
      <c r="H29" s="20">
        <v>-7</v>
      </c>
      <c r="I29" s="20">
        <v>-4</v>
      </c>
      <c r="J29" s="20">
        <v>1</v>
      </c>
      <c r="K29" s="2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1"/>
  <sheetViews>
    <sheetView workbookViewId="0">
      <selection activeCell="A87" sqref="A2:XFD87"/>
    </sheetView>
  </sheetViews>
  <sheetFormatPr defaultRowHeight="15" x14ac:dyDescent="0.25"/>
  <cols>
    <col min="2" max="2" width="15.28515625" customWidth="1"/>
    <col min="3" max="3" width="11.7109375" customWidth="1"/>
  </cols>
  <sheetData>
    <row r="1" spans="1:3" x14ac:dyDescent="0.25">
      <c r="A1" t="s">
        <v>5</v>
      </c>
      <c r="B1" s="11" t="s">
        <v>0</v>
      </c>
      <c r="C1" s="11" t="s">
        <v>48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62BF-70BD-4136-A395-41A98066B4E6}">
  <sheetPr codeName="Sheet6"/>
  <dimension ref="A1:H1"/>
  <sheetViews>
    <sheetView zoomScaleNormal="100" workbookViewId="0">
      <selection activeCell="A2" sqref="A2:XFD10"/>
    </sheetView>
  </sheetViews>
  <sheetFormatPr defaultRowHeight="15" x14ac:dyDescent="0.25"/>
  <cols>
    <col min="2" max="2" width="13.42578125" customWidth="1"/>
    <col min="3" max="3" width="12.42578125" customWidth="1"/>
    <col min="4" max="4" width="14.140625" customWidth="1"/>
    <col min="5" max="5" width="17.85546875" customWidth="1"/>
  </cols>
  <sheetData>
    <row r="1" spans="1:8" x14ac:dyDescent="0.25">
      <c r="A1" t="s">
        <v>49</v>
      </c>
      <c r="B1" t="s">
        <v>50</v>
      </c>
      <c r="C1" t="s">
        <v>51</v>
      </c>
      <c r="D1" t="s">
        <v>48</v>
      </c>
      <c r="E1" t="s">
        <v>124</v>
      </c>
      <c r="F1" t="s">
        <v>52</v>
      </c>
      <c r="G1" t="s">
        <v>53</v>
      </c>
      <c r="H1" t="s">
        <v>54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D1D0-E783-4E15-BB8E-68B8E93C0057}">
  <sheetPr codeName="Sheet14"/>
  <dimension ref="A1:F1"/>
  <sheetViews>
    <sheetView workbookViewId="0">
      <selection activeCell="F2" sqref="F2"/>
    </sheetView>
  </sheetViews>
  <sheetFormatPr defaultRowHeight="15" x14ac:dyDescent="0.25"/>
  <cols>
    <col min="3" max="3" width="13.28515625" customWidth="1"/>
  </cols>
  <sheetData>
    <row r="1" spans="1:6" x14ac:dyDescent="0.25">
      <c r="A1" t="s">
        <v>49</v>
      </c>
      <c r="B1" s="14" t="s">
        <v>108</v>
      </c>
      <c r="C1" s="11" t="s">
        <v>27</v>
      </c>
      <c r="D1" s="15" t="s">
        <v>125</v>
      </c>
      <c r="E1" s="15" t="s">
        <v>126</v>
      </c>
      <c r="F1" t="s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46E5-4664-4FE7-A277-7DF4620FA352}">
  <sheetPr codeName="Sheet15"/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49</v>
      </c>
      <c r="B1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30"/>
  <sheetViews>
    <sheetView workbookViewId="0">
      <selection activeCell="A2" sqref="A2:XFD15"/>
    </sheetView>
  </sheetViews>
  <sheetFormatPr defaultRowHeight="15" x14ac:dyDescent="0.25"/>
  <cols>
    <col min="2" max="2" width="15.28515625" customWidth="1"/>
    <col min="3" max="3" width="8.28515625" customWidth="1"/>
    <col min="6" max="6" width="12" customWidth="1"/>
    <col min="7" max="7" width="10.7109375" customWidth="1"/>
    <col min="8" max="9" width="13" customWidth="1"/>
    <col min="10" max="10" width="13.85546875" style="3" customWidth="1"/>
    <col min="11" max="11" width="9.7109375" style="3" bestFit="1" customWidth="1"/>
    <col min="12" max="14" width="9.140625" style="3"/>
    <col min="15" max="15" width="14.140625" style="3" customWidth="1"/>
    <col min="16" max="16" width="14" style="3" customWidth="1"/>
  </cols>
  <sheetData>
    <row r="1" spans="1:17" x14ac:dyDescent="0.25">
      <c r="A1" t="s">
        <v>49</v>
      </c>
      <c r="B1" s="11" t="s">
        <v>128</v>
      </c>
      <c r="C1" s="11" t="s">
        <v>129</v>
      </c>
      <c r="D1" s="11" t="s">
        <v>130</v>
      </c>
      <c r="E1" s="11" t="s">
        <v>47</v>
      </c>
      <c r="F1" s="11" t="s">
        <v>3</v>
      </c>
      <c r="G1" s="11" t="s">
        <v>4</v>
      </c>
      <c r="H1" t="s">
        <v>228</v>
      </c>
      <c r="I1" s="11" t="s">
        <v>229</v>
      </c>
      <c r="J1" s="9" t="s">
        <v>131</v>
      </c>
      <c r="K1" s="9" t="s">
        <v>132</v>
      </c>
      <c r="L1" s="12" t="s">
        <v>133</v>
      </c>
      <c r="M1" s="9" t="s">
        <v>134</v>
      </c>
      <c r="N1" s="9" t="s">
        <v>135</v>
      </c>
      <c r="O1" s="3" t="s">
        <v>136</v>
      </c>
      <c r="P1" s="3" t="s">
        <v>137</v>
      </c>
      <c r="Q1" s="3" t="s">
        <v>138</v>
      </c>
    </row>
    <row r="2" spans="1:17" x14ac:dyDescent="0.25">
      <c r="A2" s="20" t="s">
        <v>275</v>
      </c>
      <c r="B2" s="20">
        <v>83334</v>
      </c>
      <c r="C2" s="20">
        <v>19.399999999999999</v>
      </c>
      <c r="D2" s="20">
        <v>74.650000000000006</v>
      </c>
      <c r="E2" s="20">
        <v>511</v>
      </c>
      <c r="F2" s="24">
        <v>42563</v>
      </c>
      <c r="G2" s="24">
        <v>42684</v>
      </c>
      <c r="H2" s="20">
        <v>0</v>
      </c>
      <c r="I2" s="20">
        <v>0</v>
      </c>
      <c r="J2" s="20">
        <v>0</v>
      </c>
      <c r="K2" s="20">
        <v>0</v>
      </c>
      <c r="L2" s="20">
        <v>5</v>
      </c>
      <c r="M2" s="20">
        <v>0.6</v>
      </c>
      <c r="N2" s="20">
        <v>0.5</v>
      </c>
      <c r="O2" s="20">
        <v>0</v>
      </c>
      <c r="P2" s="20">
        <v>1</v>
      </c>
      <c r="Q2" s="20">
        <v>60</v>
      </c>
    </row>
    <row r="3" spans="1:17" x14ac:dyDescent="0.25">
      <c r="A3" s="20" t="s">
        <v>283</v>
      </c>
      <c r="B3" s="20">
        <v>83334</v>
      </c>
      <c r="C3" s="20">
        <v>19.399999999999999</v>
      </c>
      <c r="D3" s="20">
        <v>74.650000000000006</v>
      </c>
      <c r="E3" s="20">
        <v>511</v>
      </c>
      <c r="F3" s="24">
        <v>42931</v>
      </c>
      <c r="G3" s="24">
        <v>43053</v>
      </c>
      <c r="H3" s="20">
        <v>0</v>
      </c>
      <c r="I3" s="20">
        <v>0</v>
      </c>
      <c r="J3" s="20">
        <v>0</v>
      </c>
      <c r="K3" s="20">
        <v>0</v>
      </c>
      <c r="L3" s="20">
        <v>5</v>
      </c>
      <c r="M3" s="20">
        <v>0.6</v>
      </c>
      <c r="N3" s="20">
        <v>0.5</v>
      </c>
      <c r="O3" s="20">
        <v>0</v>
      </c>
      <c r="P3" s="20">
        <v>1</v>
      </c>
      <c r="Q3" s="20">
        <v>60</v>
      </c>
    </row>
    <row r="4" spans="1:17" x14ac:dyDescent="0.25">
      <c r="A4" s="20" t="s">
        <v>286</v>
      </c>
      <c r="B4" s="20">
        <v>83334</v>
      </c>
      <c r="C4" s="20">
        <v>19.399999999999999</v>
      </c>
      <c r="D4" s="20">
        <v>74.650000000000006</v>
      </c>
      <c r="E4" s="20">
        <v>511</v>
      </c>
      <c r="F4" s="24">
        <v>43286</v>
      </c>
      <c r="G4" s="24">
        <v>43414</v>
      </c>
      <c r="H4" s="20">
        <v>0</v>
      </c>
      <c r="I4" s="20">
        <v>0</v>
      </c>
      <c r="J4" s="20">
        <v>0</v>
      </c>
      <c r="K4" s="20">
        <v>0</v>
      </c>
      <c r="L4" s="20">
        <v>5</v>
      </c>
      <c r="M4" s="20">
        <v>0.6</v>
      </c>
      <c r="N4" s="20">
        <v>0.5</v>
      </c>
      <c r="O4" s="20">
        <v>0</v>
      </c>
      <c r="P4" s="20">
        <v>1</v>
      </c>
      <c r="Q4" s="20">
        <v>60</v>
      </c>
    </row>
    <row r="5" spans="1:17" x14ac:dyDescent="0.25">
      <c r="A5" s="20" t="s">
        <v>289</v>
      </c>
      <c r="B5" s="20">
        <v>83334</v>
      </c>
      <c r="C5" s="20">
        <v>19.399999999999999</v>
      </c>
      <c r="D5" s="20">
        <v>74.650000000000006</v>
      </c>
      <c r="E5" s="20">
        <v>511</v>
      </c>
      <c r="F5" s="24">
        <v>43644</v>
      </c>
      <c r="G5" s="24">
        <v>43777</v>
      </c>
      <c r="H5" s="20">
        <v>0</v>
      </c>
      <c r="I5" s="20">
        <v>0</v>
      </c>
      <c r="J5" s="20">
        <v>0</v>
      </c>
      <c r="K5" s="20">
        <v>0</v>
      </c>
      <c r="L5" s="20">
        <v>5</v>
      </c>
      <c r="M5" s="20">
        <v>0.6</v>
      </c>
      <c r="N5" s="20">
        <v>0.5</v>
      </c>
      <c r="O5" s="20">
        <v>0</v>
      </c>
      <c r="P5" s="20">
        <v>1</v>
      </c>
      <c r="Q5" s="20">
        <v>60</v>
      </c>
    </row>
    <row r="6" spans="1:17" x14ac:dyDescent="0.25">
      <c r="A6" s="20" t="s">
        <v>292</v>
      </c>
      <c r="B6" s="20">
        <v>83334</v>
      </c>
      <c r="C6" s="20">
        <v>19.399999999999999</v>
      </c>
      <c r="D6" s="20">
        <v>74.650000000000006</v>
      </c>
      <c r="E6" s="20">
        <v>511</v>
      </c>
      <c r="F6" s="24">
        <v>44002</v>
      </c>
      <c r="G6" s="24">
        <v>44136</v>
      </c>
      <c r="H6" s="20">
        <v>0</v>
      </c>
      <c r="I6" s="20">
        <v>0</v>
      </c>
      <c r="J6" s="20">
        <v>0</v>
      </c>
      <c r="K6" s="20">
        <v>0</v>
      </c>
      <c r="L6" s="20">
        <v>5</v>
      </c>
      <c r="M6" s="20">
        <v>0.6</v>
      </c>
      <c r="N6" s="20">
        <v>0.5</v>
      </c>
      <c r="O6" s="20">
        <v>0</v>
      </c>
      <c r="P6" s="20">
        <v>1</v>
      </c>
      <c r="Q6" s="20">
        <v>60</v>
      </c>
    </row>
    <row r="7" spans="1:17" x14ac:dyDescent="0.25">
      <c r="A7" s="20" t="s">
        <v>295</v>
      </c>
      <c r="B7" s="20">
        <v>83334</v>
      </c>
      <c r="C7" s="20">
        <v>19.399999999999999</v>
      </c>
      <c r="D7" s="20">
        <v>74.650000000000006</v>
      </c>
      <c r="E7" s="20">
        <v>511</v>
      </c>
      <c r="F7" s="24">
        <v>44372</v>
      </c>
      <c r="G7" s="24">
        <v>44504</v>
      </c>
      <c r="H7" s="20">
        <v>0</v>
      </c>
      <c r="I7" s="20">
        <v>0</v>
      </c>
      <c r="J7" s="20">
        <v>0</v>
      </c>
      <c r="K7" s="20">
        <v>0</v>
      </c>
      <c r="L7" s="20">
        <v>5</v>
      </c>
      <c r="M7" s="20">
        <v>0.6</v>
      </c>
      <c r="N7" s="20">
        <v>0.5</v>
      </c>
      <c r="O7" s="20">
        <v>0</v>
      </c>
      <c r="P7" s="20">
        <v>1</v>
      </c>
      <c r="Q7" s="20">
        <v>60</v>
      </c>
    </row>
    <row r="8" spans="1:17" x14ac:dyDescent="0.25">
      <c r="A8" s="20" t="s">
        <v>298</v>
      </c>
      <c r="B8" s="20">
        <v>83334</v>
      </c>
      <c r="C8" s="20">
        <v>19.399999999999999</v>
      </c>
      <c r="D8" s="20">
        <v>74.650000000000006</v>
      </c>
      <c r="E8" s="20">
        <v>511</v>
      </c>
      <c r="F8" s="24">
        <v>40005</v>
      </c>
      <c r="G8" s="24">
        <v>40125</v>
      </c>
      <c r="H8" s="20">
        <v>0</v>
      </c>
      <c r="I8" s="20">
        <v>0</v>
      </c>
      <c r="J8" s="20">
        <v>0</v>
      </c>
      <c r="K8" s="20">
        <v>0</v>
      </c>
      <c r="L8" s="20">
        <v>5</v>
      </c>
      <c r="M8" s="20">
        <v>0.6</v>
      </c>
      <c r="N8" s="20">
        <v>0.5</v>
      </c>
      <c r="O8" s="20">
        <v>0</v>
      </c>
      <c r="P8" s="20">
        <v>1</v>
      </c>
      <c r="Q8" s="20">
        <v>60</v>
      </c>
    </row>
    <row r="9" spans="1:17" x14ac:dyDescent="0.25">
      <c r="A9" s="20" t="s">
        <v>301</v>
      </c>
      <c r="B9" s="20">
        <v>83334</v>
      </c>
      <c r="C9" s="20">
        <v>19.399999999999999</v>
      </c>
      <c r="D9" s="20">
        <v>74.650000000000006</v>
      </c>
      <c r="E9" s="20">
        <v>511</v>
      </c>
      <c r="F9" s="24">
        <v>40372</v>
      </c>
      <c r="G9" s="24">
        <v>40492</v>
      </c>
      <c r="H9" s="20">
        <v>0</v>
      </c>
      <c r="I9" s="20">
        <v>0</v>
      </c>
      <c r="J9" s="20">
        <v>0</v>
      </c>
      <c r="K9" s="20">
        <v>0</v>
      </c>
      <c r="L9" s="20">
        <v>5</v>
      </c>
      <c r="M9" s="20">
        <v>0.6</v>
      </c>
      <c r="N9" s="20">
        <v>0.5</v>
      </c>
      <c r="O9" s="20">
        <v>0</v>
      </c>
      <c r="P9" s="20">
        <v>1</v>
      </c>
      <c r="Q9" s="20">
        <v>60</v>
      </c>
    </row>
    <row r="10" spans="1:17" x14ac:dyDescent="0.25">
      <c r="A10" s="20" t="s">
        <v>304</v>
      </c>
      <c r="B10" s="20">
        <v>83334</v>
      </c>
      <c r="C10" s="20">
        <v>19.399999999999999</v>
      </c>
      <c r="D10" s="20">
        <v>74.650000000000006</v>
      </c>
      <c r="E10" s="20">
        <v>511</v>
      </c>
      <c r="F10" s="24">
        <v>40741</v>
      </c>
      <c r="G10" s="24">
        <v>40859</v>
      </c>
      <c r="H10" s="20">
        <v>0</v>
      </c>
      <c r="I10" s="20">
        <v>0</v>
      </c>
      <c r="J10" s="20">
        <v>0</v>
      </c>
      <c r="K10" s="20">
        <v>0</v>
      </c>
      <c r="L10" s="20">
        <v>5</v>
      </c>
      <c r="M10" s="20">
        <v>0.6</v>
      </c>
      <c r="N10" s="20">
        <v>0.5</v>
      </c>
      <c r="O10" s="20">
        <v>0</v>
      </c>
      <c r="P10" s="20">
        <v>1</v>
      </c>
      <c r="Q10" s="20">
        <v>60</v>
      </c>
    </row>
    <row r="11" spans="1:17" x14ac:dyDescent="0.25">
      <c r="A11" s="20" t="s">
        <v>307</v>
      </c>
      <c r="B11" s="20">
        <v>83334</v>
      </c>
      <c r="C11" s="20">
        <v>19.399999999999999</v>
      </c>
      <c r="D11" s="20">
        <v>74.650000000000006</v>
      </c>
      <c r="E11" s="20">
        <v>511</v>
      </c>
      <c r="F11" s="24">
        <v>41104</v>
      </c>
      <c r="G11" s="24">
        <v>41228</v>
      </c>
      <c r="H11" s="20">
        <v>0</v>
      </c>
      <c r="I11" s="20">
        <v>0</v>
      </c>
      <c r="J11" s="20">
        <v>0</v>
      </c>
      <c r="K11" s="20">
        <v>0</v>
      </c>
      <c r="L11" s="20">
        <v>5</v>
      </c>
      <c r="M11" s="20">
        <v>0.6</v>
      </c>
      <c r="N11" s="20">
        <v>0.5</v>
      </c>
      <c r="O11" s="20">
        <v>0</v>
      </c>
      <c r="P11" s="20">
        <v>1</v>
      </c>
      <c r="Q11" s="20">
        <v>60</v>
      </c>
    </row>
    <row r="12" spans="1:17" x14ac:dyDescent="0.25">
      <c r="A12" s="20" t="s">
        <v>310</v>
      </c>
      <c r="B12" s="20">
        <v>83334</v>
      </c>
      <c r="C12" s="20">
        <v>19.399999999999999</v>
      </c>
      <c r="D12" s="20">
        <v>74.650000000000006</v>
      </c>
      <c r="E12" s="20">
        <v>511</v>
      </c>
      <c r="F12" s="24">
        <v>41446</v>
      </c>
      <c r="G12" s="24">
        <v>41565</v>
      </c>
      <c r="H12" s="20">
        <v>0</v>
      </c>
      <c r="I12" s="20">
        <v>0</v>
      </c>
      <c r="J12" s="20">
        <v>0</v>
      </c>
      <c r="K12" s="20">
        <v>0</v>
      </c>
      <c r="L12" s="20">
        <v>5</v>
      </c>
      <c r="M12" s="20">
        <v>0.6</v>
      </c>
      <c r="N12" s="20">
        <v>0.5</v>
      </c>
      <c r="O12" s="20">
        <v>0</v>
      </c>
      <c r="P12" s="20">
        <v>1</v>
      </c>
      <c r="Q12" s="20">
        <v>60</v>
      </c>
    </row>
    <row r="13" spans="1:17" x14ac:dyDescent="0.25">
      <c r="A13" s="20" t="s">
        <v>313</v>
      </c>
      <c r="B13" s="20">
        <v>83334</v>
      </c>
      <c r="C13" s="20">
        <v>19.399999999999999</v>
      </c>
      <c r="D13" s="20">
        <v>74.650000000000006</v>
      </c>
      <c r="E13" s="20">
        <v>511</v>
      </c>
      <c r="F13" s="24">
        <v>41812</v>
      </c>
      <c r="G13" s="24">
        <v>41932</v>
      </c>
      <c r="H13" s="20">
        <v>0</v>
      </c>
      <c r="I13" s="20">
        <v>0</v>
      </c>
      <c r="J13" s="20">
        <v>0</v>
      </c>
      <c r="K13" s="20">
        <v>0</v>
      </c>
      <c r="L13" s="20">
        <v>5</v>
      </c>
      <c r="M13" s="20">
        <v>0.6</v>
      </c>
      <c r="N13" s="20">
        <v>0.5</v>
      </c>
      <c r="O13" s="20">
        <v>0</v>
      </c>
      <c r="P13" s="20">
        <v>1</v>
      </c>
      <c r="Q13" s="20">
        <v>60</v>
      </c>
    </row>
    <row r="14" spans="1:17" x14ac:dyDescent="0.25">
      <c r="A14" s="20" t="s">
        <v>316</v>
      </c>
      <c r="B14" s="20">
        <v>83334</v>
      </c>
      <c r="C14" s="20">
        <v>19.399999999999999</v>
      </c>
      <c r="D14" s="20">
        <v>74.650000000000006</v>
      </c>
      <c r="E14" s="20">
        <v>511</v>
      </c>
      <c r="F14" s="24">
        <v>42178</v>
      </c>
      <c r="G14" s="24">
        <v>42298</v>
      </c>
      <c r="H14" s="20">
        <v>0</v>
      </c>
      <c r="I14" s="20">
        <v>0</v>
      </c>
      <c r="J14" s="20">
        <v>0</v>
      </c>
      <c r="K14" s="20">
        <v>0</v>
      </c>
      <c r="L14" s="20">
        <v>5</v>
      </c>
      <c r="M14" s="20">
        <v>0.6</v>
      </c>
      <c r="N14" s="20">
        <v>0.5</v>
      </c>
      <c r="O14" s="20">
        <v>0</v>
      </c>
      <c r="P14" s="20">
        <v>1</v>
      </c>
      <c r="Q14" s="20">
        <v>60</v>
      </c>
    </row>
    <row r="15" spans="1:1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1:17" x14ac:dyDescent="0.25">
      <c r="A17" s="20" t="s">
        <v>319</v>
      </c>
      <c r="B17" s="20">
        <v>76000</v>
      </c>
      <c r="C17" s="20">
        <v>39.72</v>
      </c>
      <c r="D17" s="20">
        <v>-96.49</v>
      </c>
      <c r="E17" s="20">
        <v>466</v>
      </c>
      <c r="F17" s="24">
        <v>39934</v>
      </c>
      <c r="G17" s="24">
        <v>40087</v>
      </c>
      <c r="H17" s="20">
        <v>0</v>
      </c>
      <c r="I17" s="20">
        <v>0</v>
      </c>
      <c r="J17" s="20">
        <v>0</v>
      </c>
      <c r="K17" s="20">
        <v>0</v>
      </c>
      <c r="L17" s="20">
        <v>5</v>
      </c>
      <c r="M17" s="20">
        <v>0.6</v>
      </c>
      <c r="N17" s="20">
        <v>0.5</v>
      </c>
      <c r="O17" s="20">
        <v>0</v>
      </c>
      <c r="P17" s="20">
        <v>1</v>
      </c>
      <c r="Q17" s="20">
        <v>60</v>
      </c>
    </row>
    <row r="18" spans="1:17" x14ac:dyDescent="0.25">
      <c r="A18" s="20" t="s">
        <v>327</v>
      </c>
      <c r="B18" s="20">
        <v>76000</v>
      </c>
      <c r="C18" s="20">
        <v>39.72</v>
      </c>
      <c r="D18" s="20">
        <v>-96.49</v>
      </c>
      <c r="E18" s="20">
        <v>466</v>
      </c>
      <c r="F18" s="24">
        <v>40299</v>
      </c>
      <c r="G18" s="24">
        <v>40452</v>
      </c>
      <c r="H18" s="20">
        <v>0</v>
      </c>
      <c r="I18" s="20">
        <v>0</v>
      </c>
      <c r="J18" s="20">
        <v>0</v>
      </c>
      <c r="K18" s="20">
        <v>0</v>
      </c>
      <c r="L18" s="20">
        <v>5</v>
      </c>
      <c r="M18" s="20">
        <v>0.6</v>
      </c>
      <c r="N18" s="20">
        <v>0.5</v>
      </c>
      <c r="O18" s="20">
        <v>0</v>
      </c>
      <c r="P18" s="20">
        <v>1</v>
      </c>
      <c r="Q18" s="20">
        <v>60</v>
      </c>
    </row>
    <row r="19" spans="1:17" x14ac:dyDescent="0.25">
      <c r="A19" s="20" t="s">
        <v>330</v>
      </c>
      <c r="B19" s="20">
        <v>76000</v>
      </c>
      <c r="C19" s="20">
        <v>39.72</v>
      </c>
      <c r="D19" s="20">
        <v>-96.49</v>
      </c>
      <c r="E19" s="20">
        <v>466</v>
      </c>
      <c r="F19" s="24">
        <v>40664</v>
      </c>
      <c r="G19" s="24">
        <v>40817</v>
      </c>
      <c r="H19" s="20">
        <v>0</v>
      </c>
      <c r="I19" s="20">
        <v>0</v>
      </c>
      <c r="J19" s="20">
        <v>0</v>
      </c>
      <c r="K19" s="20">
        <v>0</v>
      </c>
      <c r="L19" s="20">
        <v>5</v>
      </c>
      <c r="M19" s="20">
        <v>0.6</v>
      </c>
      <c r="N19" s="20">
        <v>0.5</v>
      </c>
      <c r="O19" s="20">
        <v>0</v>
      </c>
      <c r="P19" s="20">
        <v>1</v>
      </c>
      <c r="Q19" s="20">
        <v>60</v>
      </c>
    </row>
    <row r="20" spans="1:17" x14ac:dyDescent="0.25">
      <c r="A20" s="20" t="s">
        <v>333</v>
      </c>
      <c r="B20" s="20">
        <v>76000</v>
      </c>
      <c r="C20" s="20">
        <v>39.72</v>
      </c>
      <c r="D20" s="20">
        <v>-96.49</v>
      </c>
      <c r="E20" s="20">
        <v>466</v>
      </c>
      <c r="F20" s="24">
        <v>41030</v>
      </c>
      <c r="G20" s="24">
        <v>41183</v>
      </c>
      <c r="H20" s="20">
        <v>0</v>
      </c>
      <c r="I20" s="20">
        <v>0</v>
      </c>
      <c r="J20" s="20">
        <v>0</v>
      </c>
      <c r="K20" s="20">
        <v>0</v>
      </c>
      <c r="L20" s="20">
        <v>5</v>
      </c>
      <c r="M20" s="20">
        <v>0.6</v>
      </c>
      <c r="N20" s="20">
        <v>0.5</v>
      </c>
      <c r="O20" s="20">
        <v>0</v>
      </c>
      <c r="P20" s="20">
        <v>1</v>
      </c>
      <c r="Q20" s="20">
        <v>60</v>
      </c>
    </row>
    <row r="21" spans="1:17" x14ac:dyDescent="0.25">
      <c r="A21" s="20" t="s">
        <v>336</v>
      </c>
      <c r="B21" s="20">
        <v>76000</v>
      </c>
      <c r="C21" s="20">
        <v>39.72</v>
      </c>
      <c r="D21" s="20">
        <v>-96.49</v>
      </c>
      <c r="E21" s="20">
        <v>466</v>
      </c>
      <c r="F21" s="24">
        <v>41395</v>
      </c>
      <c r="G21" s="24">
        <v>41548</v>
      </c>
      <c r="H21" s="20">
        <v>0</v>
      </c>
      <c r="I21" s="20">
        <v>0</v>
      </c>
      <c r="J21" s="20">
        <v>0</v>
      </c>
      <c r="K21" s="20">
        <v>0</v>
      </c>
      <c r="L21" s="20">
        <v>5</v>
      </c>
      <c r="M21" s="20">
        <v>0.6</v>
      </c>
      <c r="N21" s="20">
        <v>0.5</v>
      </c>
      <c r="O21" s="20">
        <v>0</v>
      </c>
      <c r="P21" s="20">
        <v>1</v>
      </c>
      <c r="Q21" s="20">
        <v>60</v>
      </c>
    </row>
    <row r="22" spans="1:17" x14ac:dyDescent="0.25">
      <c r="A22" s="20" t="s">
        <v>339</v>
      </c>
      <c r="B22" s="20">
        <v>76000</v>
      </c>
      <c r="C22" s="20">
        <v>39.72</v>
      </c>
      <c r="D22" s="20">
        <v>-96.49</v>
      </c>
      <c r="E22" s="20">
        <v>466</v>
      </c>
      <c r="F22" s="24">
        <v>41760</v>
      </c>
      <c r="G22" s="24">
        <v>41913</v>
      </c>
      <c r="H22" s="20">
        <v>0</v>
      </c>
      <c r="I22" s="20">
        <v>0</v>
      </c>
      <c r="J22" s="20">
        <v>0</v>
      </c>
      <c r="K22" s="20">
        <v>0</v>
      </c>
      <c r="L22" s="20">
        <v>5</v>
      </c>
      <c r="M22" s="20">
        <v>0.6</v>
      </c>
      <c r="N22" s="20">
        <v>0.5</v>
      </c>
      <c r="O22" s="20">
        <v>0</v>
      </c>
      <c r="P22" s="20">
        <v>1</v>
      </c>
      <c r="Q22" s="20">
        <v>60</v>
      </c>
    </row>
    <row r="23" spans="1:17" x14ac:dyDescent="0.25">
      <c r="A23" s="20" t="s">
        <v>342</v>
      </c>
      <c r="B23" s="20">
        <v>76000</v>
      </c>
      <c r="C23" s="20">
        <v>39.72</v>
      </c>
      <c r="D23" s="20">
        <v>-96.49</v>
      </c>
      <c r="E23" s="20">
        <v>466</v>
      </c>
      <c r="F23" s="24">
        <v>42125</v>
      </c>
      <c r="G23" s="24">
        <v>42278</v>
      </c>
      <c r="H23" s="20">
        <v>0</v>
      </c>
      <c r="I23" s="20">
        <v>0</v>
      </c>
      <c r="J23" s="20">
        <v>0</v>
      </c>
      <c r="K23" s="20">
        <v>0</v>
      </c>
      <c r="L23" s="20">
        <v>5</v>
      </c>
      <c r="M23" s="20">
        <v>0.6</v>
      </c>
      <c r="N23" s="20">
        <v>0.5</v>
      </c>
      <c r="O23" s="20">
        <v>0</v>
      </c>
      <c r="P23" s="20">
        <v>1</v>
      </c>
      <c r="Q23" s="20">
        <v>60</v>
      </c>
    </row>
    <row r="24" spans="1:17" x14ac:dyDescent="0.25">
      <c r="A24" s="20" t="s">
        <v>345</v>
      </c>
      <c r="B24" s="20">
        <v>76000</v>
      </c>
      <c r="C24" s="20">
        <v>39.72</v>
      </c>
      <c r="D24" s="20">
        <v>-96.49</v>
      </c>
      <c r="E24" s="20">
        <v>466</v>
      </c>
      <c r="F24" s="24">
        <v>42491</v>
      </c>
      <c r="G24" s="24">
        <v>42644</v>
      </c>
      <c r="H24" s="20">
        <v>0</v>
      </c>
      <c r="I24" s="20">
        <v>0</v>
      </c>
      <c r="J24" s="20">
        <v>0</v>
      </c>
      <c r="K24" s="20">
        <v>0</v>
      </c>
      <c r="L24" s="20">
        <v>5</v>
      </c>
      <c r="M24" s="20">
        <v>0.6</v>
      </c>
      <c r="N24" s="20">
        <v>0.5</v>
      </c>
      <c r="O24" s="20">
        <v>0</v>
      </c>
      <c r="P24" s="20">
        <v>1</v>
      </c>
      <c r="Q24" s="20">
        <v>60</v>
      </c>
    </row>
    <row r="25" spans="1:17" x14ac:dyDescent="0.25">
      <c r="A25" s="20" t="s">
        <v>348</v>
      </c>
      <c r="B25" s="20">
        <v>76000</v>
      </c>
      <c r="C25" s="20">
        <v>39.72</v>
      </c>
      <c r="D25" s="20">
        <v>-96.49</v>
      </c>
      <c r="E25" s="20">
        <v>466</v>
      </c>
      <c r="F25" s="24">
        <v>42856</v>
      </c>
      <c r="G25" s="24">
        <v>43009</v>
      </c>
      <c r="H25" s="20">
        <v>0</v>
      </c>
      <c r="I25" s="20">
        <v>0</v>
      </c>
      <c r="J25" s="20">
        <v>0</v>
      </c>
      <c r="K25" s="20">
        <v>0</v>
      </c>
      <c r="L25" s="20">
        <v>5</v>
      </c>
      <c r="M25" s="20">
        <v>0.6</v>
      </c>
      <c r="N25" s="20">
        <v>0.5</v>
      </c>
      <c r="O25" s="20">
        <v>0</v>
      </c>
      <c r="P25" s="20">
        <v>1</v>
      </c>
      <c r="Q25" s="20">
        <v>60</v>
      </c>
    </row>
    <row r="26" spans="1:17" x14ac:dyDescent="0.25">
      <c r="A26" s="20" t="s">
        <v>351</v>
      </c>
      <c r="B26" s="20">
        <v>76000</v>
      </c>
      <c r="C26" s="20">
        <v>39.72</v>
      </c>
      <c r="D26" s="20">
        <v>-96.49</v>
      </c>
      <c r="E26" s="20">
        <v>466</v>
      </c>
      <c r="F26" s="24">
        <v>43221</v>
      </c>
      <c r="G26" s="24">
        <v>43374</v>
      </c>
      <c r="H26" s="20">
        <v>0</v>
      </c>
      <c r="I26" s="20">
        <v>0</v>
      </c>
      <c r="J26" s="20">
        <v>0</v>
      </c>
      <c r="K26" s="20">
        <v>0</v>
      </c>
      <c r="L26" s="20">
        <v>5</v>
      </c>
      <c r="M26" s="20">
        <v>0.6</v>
      </c>
      <c r="N26" s="20">
        <v>0.5</v>
      </c>
      <c r="O26" s="20">
        <v>0</v>
      </c>
      <c r="P26" s="20">
        <v>1</v>
      </c>
      <c r="Q26" s="20">
        <v>60</v>
      </c>
    </row>
    <row r="27" spans="1:17" x14ac:dyDescent="0.25">
      <c r="A27" s="20" t="s">
        <v>354</v>
      </c>
      <c r="B27" s="20">
        <v>76000</v>
      </c>
      <c r="C27" s="20">
        <v>39.72</v>
      </c>
      <c r="D27" s="20">
        <v>-96.49</v>
      </c>
      <c r="E27" s="20">
        <v>466</v>
      </c>
      <c r="F27" s="24">
        <v>43586</v>
      </c>
      <c r="G27" s="24">
        <v>43739</v>
      </c>
      <c r="H27" s="20">
        <v>0</v>
      </c>
      <c r="I27" s="20">
        <v>0</v>
      </c>
      <c r="J27" s="20">
        <v>0</v>
      </c>
      <c r="K27" s="20">
        <v>0</v>
      </c>
      <c r="L27" s="20">
        <v>5</v>
      </c>
      <c r="M27" s="20">
        <v>0.6</v>
      </c>
      <c r="N27" s="20">
        <v>0.5</v>
      </c>
      <c r="O27" s="20">
        <v>0</v>
      </c>
      <c r="P27" s="20">
        <v>1</v>
      </c>
      <c r="Q27" s="20">
        <v>60</v>
      </c>
    </row>
    <row r="28" spans="1:17" x14ac:dyDescent="0.25">
      <c r="A28" s="20" t="s">
        <v>357</v>
      </c>
      <c r="B28" s="20">
        <v>76000</v>
      </c>
      <c r="C28" s="20">
        <v>39.72</v>
      </c>
      <c r="D28" s="20">
        <v>-96.49</v>
      </c>
      <c r="E28" s="20">
        <v>466</v>
      </c>
      <c r="F28" s="24">
        <v>43952</v>
      </c>
      <c r="G28" s="24">
        <v>44105</v>
      </c>
      <c r="H28" s="20">
        <v>0</v>
      </c>
      <c r="I28" s="20">
        <v>0</v>
      </c>
      <c r="J28" s="20">
        <v>0</v>
      </c>
      <c r="K28" s="20">
        <v>0</v>
      </c>
      <c r="L28" s="20">
        <v>5</v>
      </c>
      <c r="M28" s="20">
        <v>0.6</v>
      </c>
      <c r="N28" s="20">
        <v>0.5</v>
      </c>
      <c r="O28" s="20">
        <v>0</v>
      </c>
      <c r="P28" s="20">
        <v>1</v>
      </c>
      <c r="Q28" s="20">
        <v>60</v>
      </c>
    </row>
    <row r="29" spans="1:17" x14ac:dyDescent="0.25">
      <c r="A29" s="20" t="s">
        <v>360</v>
      </c>
      <c r="B29" s="20">
        <v>76000</v>
      </c>
      <c r="C29" s="20">
        <v>39.72</v>
      </c>
      <c r="D29" s="20">
        <v>-96.49</v>
      </c>
      <c r="E29" s="20">
        <v>466</v>
      </c>
      <c r="F29" s="24">
        <v>44317</v>
      </c>
      <c r="G29" s="24">
        <v>44470</v>
      </c>
      <c r="H29" s="20">
        <v>0</v>
      </c>
      <c r="I29" s="20">
        <v>0</v>
      </c>
      <c r="J29" s="20">
        <v>0</v>
      </c>
      <c r="K29" s="20">
        <v>0</v>
      </c>
      <c r="L29" s="20">
        <v>5</v>
      </c>
      <c r="M29" s="20">
        <v>0.6</v>
      </c>
      <c r="N29" s="20">
        <v>0.5</v>
      </c>
      <c r="O29" s="20">
        <v>0</v>
      </c>
      <c r="P29" s="20">
        <v>1</v>
      </c>
      <c r="Q29" s="20">
        <v>60</v>
      </c>
    </row>
    <row r="30" spans="1:17" x14ac:dyDescent="0.25">
      <c r="J30"/>
      <c r="K30"/>
      <c r="L30"/>
      <c r="M30"/>
      <c r="N30"/>
      <c r="O30"/>
      <c r="P30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AFF5-8588-4847-9375-906DD8959DA9}">
  <sheetPr codeName="Sheet22"/>
  <dimension ref="A1:D4"/>
  <sheetViews>
    <sheetView workbookViewId="0">
      <selection activeCell="A4" sqref="A4:D4"/>
    </sheetView>
  </sheetViews>
  <sheetFormatPr defaultRowHeight="15" x14ac:dyDescent="0.25"/>
  <cols>
    <col min="1" max="1" width="16.5703125" customWidth="1"/>
    <col min="3" max="3" width="15" customWidth="1"/>
    <col min="4" max="4" width="32.7109375" customWidth="1"/>
  </cols>
  <sheetData>
    <row r="1" spans="1:4" x14ac:dyDescent="0.25">
      <c r="A1" s="8" t="s">
        <v>49</v>
      </c>
      <c r="B1" s="8" t="s">
        <v>159</v>
      </c>
      <c r="C1" s="8" t="s">
        <v>225</v>
      </c>
      <c r="D1" s="8" t="s">
        <v>242</v>
      </c>
    </row>
    <row r="2" spans="1:4" x14ac:dyDescent="0.25">
      <c r="A2" t="s">
        <v>39</v>
      </c>
      <c r="B2">
        <v>0.8</v>
      </c>
      <c r="C2">
        <v>0.65</v>
      </c>
      <c r="D2">
        <v>11920</v>
      </c>
    </row>
    <row r="3" spans="1:4" x14ac:dyDescent="0.25">
      <c r="A3" t="s">
        <v>45</v>
      </c>
      <c r="B3">
        <v>0.8</v>
      </c>
      <c r="C3">
        <v>0.65</v>
      </c>
      <c r="D3">
        <v>15400</v>
      </c>
    </row>
    <row r="4" spans="1:4" x14ac:dyDescent="0.25">
      <c r="A4" t="s">
        <v>55</v>
      </c>
      <c r="B4">
        <v>0.8</v>
      </c>
      <c r="C4">
        <v>0.65</v>
      </c>
      <c r="D4">
        <v>12355.2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T155"/>
  <sheetViews>
    <sheetView workbookViewId="0">
      <selection activeCell="A2" sqref="A2:XFD59"/>
    </sheetView>
  </sheetViews>
  <sheetFormatPr defaultRowHeight="15" x14ac:dyDescent="0.25"/>
  <cols>
    <col min="1" max="1" width="15.5703125" customWidth="1"/>
    <col min="2" max="11" width="14.7109375" customWidth="1"/>
    <col min="12" max="12" width="7.28515625" customWidth="1"/>
    <col min="13" max="13" width="11.5703125" customWidth="1"/>
    <col min="14" max="23" width="14.7109375" customWidth="1"/>
    <col min="24" max="32" width="13" customWidth="1"/>
    <col min="33" max="36" width="9.28515625" bestFit="1" customWidth="1"/>
    <col min="37" max="37" width="10" bestFit="1" customWidth="1"/>
    <col min="38" max="45" width="9.28515625" bestFit="1" customWidth="1"/>
  </cols>
  <sheetData>
    <row r="1" spans="1:45" x14ac:dyDescent="0.25">
      <c r="A1" t="s">
        <v>67</v>
      </c>
      <c r="B1" s="11" t="s">
        <v>139</v>
      </c>
      <c r="C1" s="11" t="s">
        <v>140</v>
      </c>
      <c r="D1" s="11" t="s">
        <v>245</v>
      </c>
      <c r="E1" s="11" t="s">
        <v>141</v>
      </c>
      <c r="F1" s="11" t="s">
        <v>142</v>
      </c>
      <c r="G1" s="11" t="s">
        <v>143</v>
      </c>
      <c r="H1" s="11" t="s">
        <v>110</v>
      </c>
      <c r="I1" s="11" t="s">
        <v>111</v>
      </c>
      <c r="J1" s="11" t="s">
        <v>112</v>
      </c>
      <c r="K1" s="11" t="s">
        <v>244</v>
      </c>
      <c r="L1" s="11" t="s">
        <v>144</v>
      </c>
      <c r="M1" s="11" t="s">
        <v>145</v>
      </c>
      <c r="N1" s="11" t="s">
        <v>146</v>
      </c>
      <c r="O1" s="11" t="s">
        <v>147</v>
      </c>
      <c r="P1" s="11" t="s">
        <v>148</v>
      </c>
      <c r="Q1" s="11" t="s">
        <v>149</v>
      </c>
      <c r="R1" s="11" t="s">
        <v>150</v>
      </c>
      <c r="S1" s="11" t="s">
        <v>151</v>
      </c>
      <c r="T1" s="11" t="s">
        <v>152</v>
      </c>
      <c r="U1" s="11" t="s">
        <v>155</v>
      </c>
      <c r="V1" s="11" t="s">
        <v>153</v>
      </c>
      <c r="W1" s="11" t="s">
        <v>154</v>
      </c>
      <c r="X1" t="s">
        <v>29</v>
      </c>
      <c r="Y1" t="s">
        <v>30</v>
      </c>
      <c r="Z1" t="s">
        <v>31</v>
      </c>
      <c r="AA1" t="s">
        <v>246</v>
      </c>
      <c r="AB1" t="s">
        <v>156</v>
      </c>
      <c r="AC1" t="s">
        <v>32</v>
      </c>
      <c r="AD1" t="s">
        <v>157</v>
      </c>
      <c r="AE1" t="s">
        <v>158</v>
      </c>
      <c r="AF1" t="s">
        <v>33</v>
      </c>
      <c r="AG1" s="8" t="s">
        <v>16</v>
      </c>
      <c r="AH1" s="8" t="s">
        <v>17</v>
      </c>
      <c r="AI1" s="8" t="s">
        <v>18</v>
      </c>
      <c r="AJ1" s="8" t="s">
        <v>19</v>
      </c>
      <c r="AK1" s="8" t="s">
        <v>9</v>
      </c>
      <c r="AL1" s="8" t="s">
        <v>20</v>
      </c>
      <c r="AM1" s="8" t="s">
        <v>21</v>
      </c>
      <c r="AN1" s="8" t="s">
        <v>10</v>
      </c>
      <c r="AO1" s="8" t="s">
        <v>11</v>
      </c>
      <c r="AP1" s="8" t="s">
        <v>12</v>
      </c>
      <c r="AQ1" s="8" t="s">
        <v>13</v>
      </c>
      <c r="AR1" s="8" t="s">
        <v>14</v>
      </c>
      <c r="AS1" s="8" t="s">
        <v>15</v>
      </c>
    </row>
    <row r="2" spans="1:45" ht="15.75" x14ac:dyDescent="0.25">
      <c r="A2" s="1"/>
      <c r="AG2" s="6"/>
      <c r="AH2" s="6"/>
      <c r="AI2" s="6"/>
      <c r="AJ2" s="6"/>
      <c r="AK2" s="6"/>
      <c r="AS2" s="6"/>
    </row>
    <row r="3" spans="1:45" x14ac:dyDescent="0.25">
      <c r="A3" s="20" t="s">
        <v>278</v>
      </c>
      <c r="B3" s="20">
        <v>15</v>
      </c>
      <c r="C3" s="20" t="s">
        <v>363</v>
      </c>
      <c r="D3" s="20">
        <v>9.2599999999999991E-3</v>
      </c>
      <c r="E3" s="20">
        <v>-1</v>
      </c>
      <c r="F3" s="20">
        <v>-1</v>
      </c>
      <c r="G3" s="20">
        <v>0</v>
      </c>
      <c r="H3" s="20">
        <v>0</v>
      </c>
      <c r="I3" s="20">
        <v>0</v>
      </c>
      <c r="J3" s="20">
        <v>0</v>
      </c>
      <c r="K3" s="20">
        <v>5</v>
      </c>
      <c r="L3" s="20">
        <v>0</v>
      </c>
      <c r="M3" s="20">
        <v>0.5</v>
      </c>
      <c r="N3" s="20">
        <v>23</v>
      </c>
      <c r="O3" s="20">
        <v>400</v>
      </c>
      <c r="P3" s="20">
        <v>206000</v>
      </c>
      <c r="Q3" s="20">
        <v>0</v>
      </c>
      <c r="R3" s="20">
        <v>19.64</v>
      </c>
      <c r="S3" s="20">
        <v>38.54</v>
      </c>
      <c r="T3" s="20">
        <f>100-R3-S3</f>
        <v>41.82</v>
      </c>
      <c r="U3" s="20">
        <v>1.18</v>
      </c>
      <c r="V3" s="20">
        <v>0.34</v>
      </c>
      <c r="W3" s="20">
        <v>0.18</v>
      </c>
      <c r="X3" s="20">
        <v>-1</v>
      </c>
      <c r="Y3" s="20">
        <v>-1</v>
      </c>
      <c r="Z3" s="20">
        <v>-1</v>
      </c>
      <c r="AA3" s="20">
        <v>-1</v>
      </c>
      <c r="AB3" s="20">
        <v>-1</v>
      </c>
      <c r="AC3" s="20">
        <v>-1</v>
      </c>
      <c r="AD3" s="20">
        <v>16.13</v>
      </c>
      <c r="AE3" s="20">
        <v>16.13</v>
      </c>
      <c r="AF3" s="20">
        <v>-1</v>
      </c>
      <c r="AG3" s="20">
        <v>6.9999999999999994E-5</v>
      </c>
      <c r="AH3" s="20">
        <v>3.5000000000000003E-2</v>
      </c>
      <c r="AI3" s="20">
        <v>7.0000000000000007E-2</v>
      </c>
      <c r="AJ3" s="20">
        <v>0.2</v>
      </c>
      <c r="AK3" s="20">
        <v>1.0000000000000001E-7</v>
      </c>
      <c r="AL3" s="20">
        <v>0.6</v>
      </c>
      <c r="AM3" s="20">
        <v>0.2</v>
      </c>
      <c r="AN3" s="20">
        <v>10</v>
      </c>
      <c r="AO3" s="20">
        <v>50</v>
      </c>
      <c r="AP3" s="20">
        <v>10</v>
      </c>
      <c r="AQ3" s="20">
        <v>0.1</v>
      </c>
      <c r="AR3" s="20">
        <v>8</v>
      </c>
      <c r="AS3" s="20">
        <v>9.9999999999999991E-6</v>
      </c>
    </row>
    <row r="4" spans="1:45" x14ac:dyDescent="0.25">
      <c r="A4" s="20" t="s">
        <v>278</v>
      </c>
      <c r="B4" s="20">
        <v>30</v>
      </c>
      <c r="C4" s="20" t="s">
        <v>363</v>
      </c>
      <c r="D4" s="20">
        <v>5.5999999999999999E-3</v>
      </c>
      <c r="E4" s="20">
        <v>-1</v>
      </c>
      <c r="F4" s="20">
        <v>-1</v>
      </c>
      <c r="G4" s="20">
        <v>0</v>
      </c>
      <c r="H4" s="20">
        <v>0</v>
      </c>
      <c r="I4" s="20">
        <v>0</v>
      </c>
      <c r="J4" s="20">
        <v>0</v>
      </c>
      <c r="K4" s="20">
        <v>5</v>
      </c>
      <c r="L4" s="20">
        <v>0</v>
      </c>
      <c r="M4" s="20">
        <v>0.5</v>
      </c>
      <c r="N4" s="20">
        <v>23</v>
      </c>
      <c r="O4" s="20">
        <v>400</v>
      </c>
      <c r="P4" s="20">
        <v>206000</v>
      </c>
      <c r="Q4" s="20">
        <v>0</v>
      </c>
      <c r="R4" s="20">
        <v>24.66</v>
      </c>
      <c r="S4" s="20">
        <v>37.36</v>
      </c>
      <c r="T4" s="20">
        <f>100-R4-S4</f>
        <v>37.980000000000004</v>
      </c>
      <c r="U4" s="20">
        <v>1.38</v>
      </c>
      <c r="V4" s="20">
        <v>0.33</v>
      </c>
      <c r="W4" s="20">
        <v>0.18</v>
      </c>
      <c r="X4" s="20">
        <v>-1</v>
      </c>
      <c r="Y4" s="20">
        <v>-1</v>
      </c>
      <c r="Z4" s="20">
        <v>-1</v>
      </c>
      <c r="AA4" s="20">
        <v>-1</v>
      </c>
      <c r="AB4" s="20">
        <v>-1</v>
      </c>
      <c r="AC4" s="20">
        <v>-1</v>
      </c>
      <c r="AD4" s="20">
        <v>4.21</v>
      </c>
      <c r="AE4" s="20">
        <v>4.21</v>
      </c>
      <c r="AF4" s="20">
        <v>-1</v>
      </c>
      <c r="AG4" s="20">
        <v>6.9999999999999994E-5</v>
      </c>
      <c r="AH4" s="20">
        <v>3.5000000000000003E-2</v>
      </c>
      <c r="AI4" s="20">
        <v>7.0000000000000007E-2</v>
      </c>
      <c r="AJ4" s="20">
        <v>0.2</v>
      </c>
      <c r="AK4" s="20">
        <v>1.0000000000000001E-7</v>
      </c>
      <c r="AL4" s="20">
        <v>0.6</v>
      </c>
      <c r="AM4" s="20">
        <v>0.2</v>
      </c>
      <c r="AN4" s="20">
        <v>10</v>
      </c>
      <c r="AO4" s="20">
        <v>50</v>
      </c>
      <c r="AP4" s="20">
        <v>10</v>
      </c>
      <c r="AQ4" s="20">
        <v>0.1</v>
      </c>
      <c r="AR4" s="20">
        <v>8</v>
      </c>
      <c r="AS4" s="20">
        <v>9.9999999999999991E-6</v>
      </c>
    </row>
    <row r="5" spans="1:45" x14ac:dyDescent="0.25">
      <c r="A5" s="20" t="s">
        <v>278</v>
      </c>
      <c r="B5" s="20">
        <v>45</v>
      </c>
      <c r="C5" s="20" t="s">
        <v>363</v>
      </c>
      <c r="D5" s="20">
        <v>3.2100000000000002E-3</v>
      </c>
      <c r="E5" s="20">
        <v>-1</v>
      </c>
      <c r="F5" s="20">
        <v>-1</v>
      </c>
      <c r="G5" s="20">
        <v>0</v>
      </c>
      <c r="H5" s="20">
        <v>0</v>
      </c>
      <c r="I5" s="20">
        <v>0</v>
      </c>
      <c r="J5" s="20">
        <v>0</v>
      </c>
      <c r="K5" s="20">
        <v>5</v>
      </c>
      <c r="L5" s="20">
        <v>0</v>
      </c>
      <c r="M5" s="20">
        <v>0.5</v>
      </c>
      <c r="N5" s="20">
        <v>23</v>
      </c>
      <c r="O5" s="20">
        <v>400</v>
      </c>
      <c r="P5" s="20">
        <v>206000</v>
      </c>
      <c r="Q5" s="20">
        <v>0</v>
      </c>
      <c r="R5" s="20">
        <v>24.66</v>
      </c>
      <c r="S5" s="20">
        <v>37.36</v>
      </c>
      <c r="T5" s="20">
        <f t="shared" ref="T5:T20" si="0">100-R5-S5</f>
        <v>37.980000000000004</v>
      </c>
      <c r="U5" s="20">
        <v>1.44</v>
      </c>
      <c r="V5" s="20">
        <v>0.33</v>
      </c>
      <c r="W5" s="20">
        <v>0.18</v>
      </c>
      <c r="X5" s="20">
        <v>-1</v>
      </c>
      <c r="Y5" s="20">
        <v>-1</v>
      </c>
      <c r="Z5" s="20">
        <v>-1</v>
      </c>
      <c r="AA5" s="20">
        <v>-1</v>
      </c>
      <c r="AB5" s="20">
        <v>-1</v>
      </c>
      <c r="AC5" s="20">
        <v>-1</v>
      </c>
      <c r="AD5" s="20">
        <v>1.1499999999999999</v>
      </c>
      <c r="AE5" s="20">
        <v>1.1499999999999999</v>
      </c>
      <c r="AF5" s="20">
        <v>-1</v>
      </c>
      <c r="AG5" s="20">
        <v>6.9999999999999994E-5</v>
      </c>
      <c r="AH5" s="20">
        <v>3.5000000000000003E-2</v>
      </c>
      <c r="AI5" s="20">
        <v>7.0000000000000007E-2</v>
      </c>
      <c r="AJ5" s="20">
        <v>0.2</v>
      </c>
      <c r="AK5" s="20">
        <v>1.0000000000000001E-7</v>
      </c>
      <c r="AL5" s="20">
        <v>0.6</v>
      </c>
      <c r="AM5" s="20">
        <v>0.2</v>
      </c>
      <c r="AN5" s="20">
        <v>10</v>
      </c>
      <c r="AO5" s="20">
        <v>50</v>
      </c>
      <c r="AP5" s="20">
        <v>10</v>
      </c>
      <c r="AQ5" s="20">
        <v>0.1</v>
      </c>
      <c r="AR5" s="20">
        <v>8</v>
      </c>
      <c r="AS5" s="20">
        <v>9.9999999999999991E-6</v>
      </c>
    </row>
    <row r="6" spans="1:45" x14ac:dyDescent="0.25">
      <c r="A6" s="20" t="s">
        <v>285</v>
      </c>
      <c r="B6" s="20">
        <v>15</v>
      </c>
      <c r="C6" s="20" t="s">
        <v>363</v>
      </c>
      <c r="D6" s="20">
        <v>8.6E-3</v>
      </c>
      <c r="E6" s="20">
        <v>-1</v>
      </c>
      <c r="F6" s="20">
        <v>-1</v>
      </c>
      <c r="G6" s="20">
        <v>0</v>
      </c>
      <c r="H6" s="20">
        <v>0</v>
      </c>
      <c r="I6" s="20">
        <v>0</v>
      </c>
      <c r="J6" s="20">
        <v>0</v>
      </c>
      <c r="K6" s="20">
        <v>5</v>
      </c>
      <c r="L6" s="20">
        <v>0</v>
      </c>
      <c r="M6" s="20">
        <v>0.5</v>
      </c>
      <c r="N6" s="20">
        <v>23</v>
      </c>
      <c r="O6" s="20">
        <v>400</v>
      </c>
      <c r="P6" s="20">
        <v>206000</v>
      </c>
      <c r="Q6" s="20">
        <v>0</v>
      </c>
      <c r="R6" s="20">
        <v>19.64</v>
      </c>
      <c r="S6" s="20">
        <v>38.54</v>
      </c>
      <c r="T6" s="20">
        <f t="shared" si="0"/>
        <v>41.82</v>
      </c>
      <c r="U6" s="20">
        <f>U3</f>
        <v>1.18</v>
      </c>
      <c r="V6" s="20">
        <v>0.34</v>
      </c>
      <c r="W6" s="20">
        <v>0.18</v>
      </c>
      <c r="X6" s="20">
        <v>-1</v>
      </c>
      <c r="Y6" s="20">
        <v>-1</v>
      </c>
      <c r="Z6" s="20">
        <v>-1</v>
      </c>
      <c r="AA6" s="20">
        <v>-1</v>
      </c>
      <c r="AB6" s="20">
        <v>-1</v>
      </c>
      <c r="AC6" s="20">
        <v>-1</v>
      </c>
      <c r="AD6" s="20">
        <v>16.13</v>
      </c>
      <c r="AE6" s="20">
        <v>16.13</v>
      </c>
      <c r="AF6" s="20">
        <v>-1</v>
      </c>
      <c r="AG6" s="20">
        <v>6.9999999999999994E-5</v>
      </c>
      <c r="AH6" s="20">
        <v>3.5000000000000003E-2</v>
      </c>
      <c r="AI6" s="20">
        <v>7.0000000000000007E-2</v>
      </c>
      <c r="AJ6" s="20">
        <v>0.2</v>
      </c>
      <c r="AK6" s="20">
        <v>1.0000000000000001E-7</v>
      </c>
      <c r="AL6" s="20">
        <v>0.6</v>
      </c>
      <c r="AM6" s="20">
        <v>0.2</v>
      </c>
      <c r="AN6" s="20">
        <v>10</v>
      </c>
      <c r="AO6" s="20">
        <v>50</v>
      </c>
      <c r="AP6" s="20">
        <v>10</v>
      </c>
      <c r="AQ6" s="20">
        <v>0.1</v>
      </c>
      <c r="AR6" s="20">
        <v>8</v>
      </c>
      <c r="AS6" s="20">
        <v>9.9999999999999991E-6</v>
      </c>
    </row>
    <row r="7" spans="1:45" x14ac:dyDescent="0.25">
      <c r="A7" s="20" t="s">
        <v>285</v>
      </c>
      <c r="B7" s="20">
        <v>30</v>
      </c>
      <c r="C7" s="20" t="s">
        <v>363</v>
      </c>
      <c r="D7" s="20">
        <v>6.6E-3</v>
      </c>
      <c r="E7" s="20">
        <v>-1</v>
      </c>
      <c r="F7" s="20">
        <v>-1</v>
      </c>
      <c r="G7" s="20">
        <v>0</v>
      </c>
      <c r="H7" s="20">
        <v>0</v>
      </c>
      <c r="I7" s="20">
        <v>0</v>
      </c>
      <c r="J7" s="20">
        <v>0</v>
      </c>
      <c r="K7" s="20">
        <v>5</v>
      </c>
      <c r="L7" s="20">
        <v>0</v>
      </c>
      <c r="M7" s="20">
        <v>0.5</v>
      </c>
      <c r="N7" s="20">
        <v>23</v>
      </c>
      <c r="O7" s="20">
        <v>400</v>
      </c>
      <c r="P7" s="20">
        <v>206000</v>
      </c>
      <c r="Q7" s="20">
        <v>0</v>
      </c>
      <c r="R7" s="20">
        <v>24.66</v>
      </c>
      <c r="S7" s="20">
        <v>37.36</v>
      </c>
      <c r="T7" s="20">
        <f t="shared" si="0"/>
        <v>37.980000000000004</v>
      </c>
      <c r="U7" s="20">
        <f t="shared" ref="U7:U41" si="1">U4</f>
        <v>1.38</v>
      </c>
      <c r="V7" s="20">
        <v>0.33</v>
      </c>
      <c r="W7" s="20">
        <v>0.18</v>
      </c>
      <c r="X7" s="20">
        <v>-1</v>
      </c>
      <c r="Y7" s="20">
        <v>-1</v>
      </c>
      <c r="Z7" s="20">
        <v>-1</v>
      </c>
      <c r="AA7" s="20">
        <v>-1</v>
      </c>
      <c r="AB7" s="20">
        <v>-1</v>
      </c>
      <c r="AC7" s="20">
        <v>-1</v>
      </c>
      <c r="AD7" s="20">
        <v>4.21</v>
      </c>
      <c r="AE7" s="20">
        <v>4.21</v>
      </c>
      <c r="AF7" s="20">
        <v>-1</v>
      </c>
      <c r="AG7" s="20">
        <v>6.9999999999999994E-5</v>
      </c>
      <c r="AH7" s="20">
        <v>3.5000000000000003E-2</v>
      </c>
      <c r="AI7" s="20">
        <v>7.0000000000000007E-2</v>
      </c>
      <c r="AJ7" s="20">
        <v>0.2</v>
      </c>
      <c r="AK7" s="20">
        <v>1.0000000000000001E-7</v>
      </c>
      <c r="AL7" s="20">
        <v>0.6</v>
      </c>
      <c r="AM7" s="20">
        <v>0.2</v>
      </c>
      <c r="AN7" s="20">
        <v>10</v>
      </c>
      <c r="AO7" s="20">
        <v>50</v>
      </c>
      <c r="AP7" s="20">
        <v>10</v>
      </c>
      <c r="AQ7" s="20">
        <v>0.1</v>
      </c>
      <c r="AR7" s="20">
        <v>8</v>
      </c>
      <c r="AS7" s="20">
        <v>9.9999999999999991E-6</v>
      </c>
    </row>
    <row r="8" spans="1:45" x14ac:dyDescent="0.25">
      <c r="A8" s="20" t="s">
        <v>285</v>
      </c>
      <c r="B8" s="20">
        <v>45</v>
      </c>
      <c r="C8" s="20" t="s">
        <v>363</v>
      </c>
      <c r="D8" s="20">
        <v>3.46E-3</v>
      </c>
      <c r="E8" s="20">
        <v>-1</v>
      </c>
      <c r="F8" s="20">
        <v>-1</v>
      </c>
      <c r="G8" s="20">
        <v>0</v>
      </c>
      <c r="H8" s="20">
        <v>0</v>
      </c>
      <c r="I8" s="20">
        <v>0</v>
      </c>
      <c r="J8" s="20">
        <v>0</v>
      </c>
      <c r="K8" s="20">
        <v>5</v>
      </c>
      <c r="L8" s="20">
        <v>0</v>
      </c>
      <c r="M8" s="20">
        <v>0.5</v>
      </c>
      <c r="N8" s="20">
        <v>23</v>
      </c>
      <c r="O8" s="20">
        <v>400</v>
      </c>
      <c r="P8" s="20">
        <v>206000</v>
      </c>
      <c r="Q8" s="20">
        <v>0</v>
      </c>
      <c r="R8" s="20">
        <v>24.66</v>
      </c>
      <c r="S8" s="20">
        <v>37.36</v>
      </c>
      <c r="T8" s="20">
        <f t="shared" si="0"/>
        <v>37.980000000000004</v>
      </c>
      <c r="U8" s="20">
        <f t="shared" si="1"/>
        <v>1.44</v>
      </c>
      <c r="V8" s="20">
        <v>0.33</v>
      </c>
      <c r="W8" s="20">
        <v>0.18</v>
      </c>
      <c r="X8" s="20">
        <v>-1</v>
      </c>
      <c r="Y8" s="20">
        <v>-1</v>
      </c>
      <c r="Z8" s="20">
        <v>-1</v>
      </c>
      <c r="AA8" s="20">
        <v>-1</v>
      </c>
      <c r="AB8" s="20">
        <v>-1</v>
      </c>
      <c r="AC8" s="20">
        <v>-1</v>
      </c>
      <c r="AD8" s="20">
        <v>1.1499999999999999</v>
      </c>
      <c r="AE8" s="20">
        <v>1.1499999999999999</v>
      </c>
      <c r="AF8" s="20">
        <v>-1</v>
      </c>
      <c r="AG8" s="20">
        <v>6.9999999999999994E-5</v>
      </c>
      <c r="AH8" s="20">
        <v>3.5000000000000003E-2</v>
      </c>
      <c r="AI8" s="20">
        <v>7.0000000000000007E-2</v>
      </c>
      <c r="AJ8" s="20">
        <v>0.2</v>
      </c>
      <c r="AK8" s="20">
        <v>1.0000000000000001E-7</v>
      </c>
      <c r="AL8" s="20">
        <v>0.6</v>
      </c>
      <c r="AM8" s="20">
        <v>0.2</v>
      </c>
      <c r="AN8" s="20">
        <v>10</v>
      </c>
      <c r="AO8" s="20">
        <v>50</v>
      </c>
      <c r="AP8" s="20">
        <v>10</v>
      </c>
      <c r="AQ8" s="20">
        <v>0.1</v>
      </c>
      <c r="AR8" s="20">
        <v>8</v>
      </c>
      <c r="AS8" s="20">
        <v>9.9999999999999991E-6</v>
      </c>
    </row>
    <row r="9" spans="1:45" x14ac:dyDescent="0.25">
      <c r="A9" s="20" t="s">
        <v>288</v>
      </c>
      <c r="B9" s="20">
        <v>15</v>
      </c>
      <c r="C9" s="20" t="s">
        <v>363</v>
      </c>
      <c r="D9" s="20">
        <v>9.9600000000000001E-3</v>
      </c>
      <c r="E9" s="20">
        <v>-1</v>
      </c>
      <c r="F9" s="20">
        <v>-1</v>
      </c>
      <c r="G9" s="20">
        <v>0</v>
      </c>
      <c r="H9" s="20">
        <v>0</v>
      </c>
      <c r="I9" s="20">
        <v>0</v>
      </c>
      <c r="J9" s="20">
        <v>0</v>
      </c>
      <c r="K9" s="20">
        <v>5</v>
      </c>
      <c r="L9" s="20">
        <v>0</v>
      </c>
      <c r="M9" s="20">
        <v>0.5</v>
      </c>
      <c r="N9" s="20">
        <v>23</v>
      </c>
      <c r="O9" s="20">
        <v>400</v>
      </c>
      <c r="P9" s="20">
        <v>206000</v>
      </c>
      <c r="Q9" s="20">
        <v>0</v>
      </c>
      <c r="R9" s="20">
        <v>19.64</v>
      </c>
      <c r="S9" s="20">
        <v>38.54</v>
      </c>
      <c r="T9" s="20">
        <f t="shared" si="0"/>
        <v>41.82</v>
      </c>
      <c r="U9" s="20">
        <f t="shared" si="1"/>
        <v>1.18</v>
      </c>
      <c r="V9" s="20">
        <v>0.34</v>
      </c>
      <c r="W9" s="20">
        <v>0.18</v>
      </c>
      <c r="X9" s="20">
        <v>-1</v>
      </c>
      <c r="Y9" s="20">
        <v>-1</v>
      </c>
      <c r="Z9" s="20">
        <v>-1</v>
      </c>
      <c r="AA9" s="20">
        <v>-1</v>
      </c>
      <c r="AB9" s="20">
        <v>-1</v>
      </c>
      <c r="AC9" s="20">
        <v>-1</v>
      </c>
      <c r="AD9" s="20">
        <v>16.13</v>
      </c>
      <c r="AE9" s="20">
        <v>16.13</v>
      </c>
      <c r="AF9" s="20">
        <v>-1</v>
      </c>
      <c r="AG9" s="20">
        <v>6.9999999999999994E-5</v>
      </c>
      <c r="AH9" s="20">
        <v>3.5000000000000003E-2</v>
      </c>
      <c r="AI9" s="20">
        <v>7.0000000000000007E-2</v>
      </c>
      <c r="AJ9" s="20">
        <v>0.2</v>
      </c>
      <c r="AK9" s="20">
        <v>1.0000000000000001E-7</v>
      </c>
      <c r="AL9" s="20">
        <v>0.6</v>
      </c>
      <c r="AM9" s="20">
        <v>0.2</v>
      </c>
      <c r="AN9" s="20">
        <v>10</v>
      </c>
      <c r="AO9" s="20">
        <v>50</v>
      </c>
      <c r="AP9" s="20">
        <v>10</v>
      </c>
      <c r="AQ9" s="20">
        <v>0.1</v>
      </c>
      <c r="AR9" s="20">
        <v>8</v>
      </c>
      <c r="AS9" s="20">
        <v>9.9999999999999991E-6</v>
      </c>
    </row>
    <row r="10" spans="1:45" x14ac:dyDescent="0.25">
      <c r="A10" s="20" t="s">
        <v>288</v>
      </c>
      <c r="B10" s="20">
        <v>30</v>
      </c>
      <c r="C10" s="20" t="s">
        <v>363</v>
      </c>
      <c r="D10" s="20">
        <v>5.96E-3</v>
      </c>
      <c r="E10" s="20">
        <v>-1</v>
      </c>
      <c r="F10" s="20">
        <v>-1</v>
      </c>
      <c r="G10" s="20">
        <v>0</v>
      </c>
      <c r="H10" s="20">
        <v>0</v>
      </c>
      <c r="I10" s="20">
        <v>0</v>
      </c>
      <c r="J10" s="20">
        <v>0</v>
      </c>
      <c r="K10" s="20">
        <v>5</v>
      </c>
      <c r="L10" s="20">
        <v>0</v>
      </c>
      <c r="M10" s="20">
        <v>0.5</v>
      </c>
      <c r="N10" s="20">
        <v>23</v>
      </c>
      <c r="O10" s="20">
        <v>400</v>
      </c>
      <c r="P10" s="20">
        <v>206000</v>
      </c>
      <c r="Q10" s="20">
        <v>0</v>
      </c>
      <c r="R10" s="20">
        <v>24.66</v>
      </c>
      <c r="S10" s="20">
        <v>37.36</v>
      </c>
      <c r="T10" s="20">
        <f t="shared" si="0"/>
        <v>37.980000000000004</v>
      </c>
      <c r="U10" s="20">
        <f t="shared" si="1"/>
        <v>1.38</v>
      </c>
      <c r="V10" s="20">
        <v>0.33</v>
      </c>
      <c r="W10" s="20">
        <v>0.18</v>
      </c>
      <c r="X10" s="20">
        <v>-1</v>
      </c>
      <c r="Y10" s="20">
        <v>-1</v>
      </c>
      <c r="Z10" s="20">
        <v>-1</v>
      </c>
      <c r="AA10" s="20">
        <v>-1</v>
      </c>
      <c r="AB10" s="20">
        <v>-1</v>
      </c>
      <c r="AC10" s="20">
        <v>-1</v>
      </c>
      <c r="AD10" s="20">
        <v>4.21</v>
      </c>
      <c r="AE10" s="20">
        <v>4.21</v>
      </c>
      <c r="AF10" s="20">
        <v>-1</v>
      </c>
      <c r="AG10" s="20">
        <v>6.9999999999999994E-5</v>
      </c>
      <c r="AH10" s="20">
        <v>3.5000000000000003E-2</v>
      </c>
      <c r="AI10" s="20">
        <v>7.0000000000000007E-2</v>
      </c>
      <c r="AJ10" s="20">
        <v>0.2</v>
      </c>
      <c r="AK10" s="20">
        <v>1.0000000000000001E-7</v>
      </c>
      <c r="AL10" s="20">
        <v>0.6</v>
      </c>
      <c r="AM10" s="20">
        <v>0.2</v>
      </c>
      <c r="AN10" s="20">
        <v>10</v>
      </c>
      <c r="AO10" s="20">
        <v>50</v>
      </c>
      <c r="AP10" s="20">
        <v>10</v>
      </c>
      <c r="AQ10" s="20">
        <v>0.1</v>
      </c>
      <c r="AR10" s="20">
        <v>8</v>
      </c>
      <c r="AS10" s="20">
        <v>9.9999999999999991E-6</v>
      </c>
    </row>
    <row r="11" spans="1:45" x14ac:dyDescent="0.25">
      <c r="A11" s="20" t="s">
        <v>288</v>
      </c>
      <c r="B11" s="20">
        <v>45</v>
      </c>
      <c r="C11" s="20" t="s">
        <v>363</v>
      </c>
      <c r="D11" s="20">
        <v>3.5599999999999998E-3</v>
      </c>
      <c r="E11" s="20">
        <v>-1</v>
      </c>
      <c r="F11" s="20">
        <v>-1</v>
      </c>
      <c r="G11" s="20">
        <v>0</v>
      </c>
      <c r="H11" s="20">
        <v>0</v>
      </c>
      <c r="I11" s="20">
        <v>0</v>
      </c>
      <c r="J11" s="20">
        <v>0</v>
      </c>
      <c r="K11" s="20">
        <v>5</v>
      </c>
      <c r="L11" s="20">
        <v>0</v>
      </c>
      <c r="M11" s="20">
        <v>0.5</v>
      </c>
      <c r="N11" s="20">
        <v>23</v>
      </c>
      <c r="O11" s="20">
        <v>400</v>
      </c>
      <c r="P11" s="20">
        <v>206000</v>
      </c>
      <c r="Q11" s="20">
        <v>0</v>
      </c>
      <c r="R11" s="20">
        <v>24.66</v>
      </c>
      <c r="S11" s="20">
        <v>37.36</v>
      </c>
      <c r="T11" s="20">
        <f t="shared" si="0"/>
        <v>37.980000000000004</v>
      </c>
      <c r="U11" s="20">
        <f t="shared" si="1"/>
        <v>1.44</v>
      </c>
      <c r="V11" s="20">
        <v>0.33</v>
      </c>
      <c r="W11" s="20">
        <v>0.18</v>
      </c>
      <c r="X11" s="20">
        <v>-1</v>
      </c>
      <c r="Y11" s="20">
        <v>-1</v>
      </c>
      <c r="Z11" s="20">
        <v>-1</v>
      </c>
      <c r="AA11" s="20">
        <v>-1</v>
      </c>
      <c r="AB11" s="20">
        <v>-1</v>
      </c>
      <c r="AC11" s="20">
        <v>-1</v>
      </c>
      <c r="AD11" s="20">
        <v>1.1499999999999999</v>
      </c>
      <c r="AE11" s="20">
        <v>1.1499999999999999</v>
      </c>
      <c r="AF11" s="20">
        <v>-1</v>
      </c>
      <c r="AG11" s="20">
        <v>6.9999999999999994E-5</v>
      </c>
      <c r="AH11" s="20">
        <v>3.5000000000000003E-2</v>
      </c>
      <c r="AI11" s="20">
        <v>7.0000000000000007E-2</v>
      </c>
      <c r="AJ11" s="20">
        <v>0.2</v>
      </c>
      <c r="AK11" s="20">
        <v>1.0000000000000001E-7</v>
      </c>
      <c r="AL11" s="20">
        <v>0.6</v>
      </c>
      <c r="AM11" s="20">
        <v>0.2</v>
      </c>
      <c r="AN11" s="20">
        <v>10</v>
      </c>
      <c r="AO11" s="20">
        <v>50</v>
      </c>
      <c r="AP11" s="20">
        <v>10</v>
      </c>
      <c r="AQ11" s="20">
        <v>0.1</v>
      </c>
      <c r="AR11" s="20">
        <v>8</v>
      </c>
      <c r="AS11" s="20">
        <v>9.9999999999999991E-6</v>
      </c>
    </row>
    <row r="12" spans="1:45" x14ac:dyDescent="0.25">
      <c r="A12" s="20" t="s">
        <v>291</v>
      </c>
      <c r="B12" s="20">
        <v>15</v>
      </c>
      <c r="C12" s="20" t="s">
        <v>363</v>
      </c>
      <c r="D12" s="20">
        <v>9.7599999999999996E-3</v>
      </c>
      <c r="E12" s="20">
        <v>-1</v>
      </c>
      <c r="F12" s="20">
        <v>-1</v>
      </c>
      <c r="G12" s="20">
        <v>0</v>
      </c>
      <c r="H12" s="20">
        <v>0</v>
      </c>
      <c r="I12" s="20">
        <v>0</v>
      </c>
      <c r="J12" s="20">
        <v>0</v>
      </c>
      <c r="K12" s="20">
        <v>5</v>
      </c>
      <c r="L12" s="20">
        <v>0</v>
      </c>
      <c r="M12" s="20">
        <v>0.5</v>
      </c>
      <c r="N12" s="20">
        <v>23</v>
      </c>
      <c r="O12" s="20">
        <v>400</v>
      </c>
      <c r="P12" s="20">
        <v>206000</v>
      </c>
      <c r="Q12" s="20">
        <v>0</v>
      </c>
      <c r="R12" s="20">
        <v>19.64</v>
      </c>
      <c r="S12" s="20">
        <v>38.54</v>
      </c>
      <c r="T12" s="20">
        <f t="shared" si="0"/>
        <v>41.82</v>
      </c>
      <c r="U12" s="20">
        <f t="shared" si="1"/>
        <v>1.18</v>
      </c>
      <c r="V12" s="20">
        <v>0.34</v>
      </c>
      <c r="W12" s="20">
        <v>0.18</v>
      </c>
      <c r="X12" s="20">
        <v>-1</v>
      </c>
      <c r="Y12" s="20">
        <v>-1</v>
      </c>
      <c r="Z12" s="20">
        <v>-1</v>
      </c>
      <c r="AA12" s="20">
        <v>-1</v>
      </c>
      <c r="AB12" s="20">
        <v>-1</v>
      </c>
      <c r="AC12" s="20">
        <v>-1</v>
      </c>
      <c r="AD12" s="20">
        <v>16.13</v>
      </c>
      <c r="AE12" s="20">
        <v>16.13</v>
      </c>
      <c r="AF12" s="20">
        <v>-1</v>
      </c>
      <c r="AG12" s="20">
        <v>6.9999999999999994E-5</v>
      </c>
      <c r="AH12" s="20">
        <v>3.5000000000000003E-2</v>
      </c>
      <c r="AI12" s="20">
        <v>7.0000000000000007E-2</v>
      </c>
      <c r="AJ12" s="20">
        <v>0.2</v>
      </c>
      <c r="AK12" s="20">
        <v>1.0000000000000001E-7</v>
      </c>
      <c r="AL12" s="20">
        <v>0.6</v>
      </c>
      <c r="AM12" s="20">
        <v>0.2</v>
      </c>
      <c r="AN12" s="20">
        <v>10</v>
      </c>
      <c r="AO12" s="20">
        <v>50</v>
      </c>
      <c r="AP12" s="20">
        <v>10</v>
      </c>
      <c r="AQ12" s="20">
        <v>0.1</v>
      </c>
      <c r="AR12" s="20">
        <v>8</v>
      </c>
      <c r="AS12" s="20">
        <v>9.9999999999999991E-6</v>
      </c>
    </row>
    <row r="13" spans="1:45" x14ac:dyDescent="0.25">
      <c r="A13" s="20" t="s">
        <v>291</v>
      </c>
      <c r="B13" s="20">
        <v>30</v>
      </c>
      <c r="C13" s="20" t="s">
        <v>363</v>
      </c>
      <c r="D13" s="20">
        <v>5.96E-3</v>
      </c>
      <c r="E13" s="20">
        <v>-1</v>
      </c>
      <c r="F13" s="20">
        <v>-1</v>
      </c>
      <c r="G13" s="20">
        <v>0</v>
      </c>
      <c r="H13" s="20">
        <v>0</v>
      </c>
      <c r="I13" s="20">
        <v>0</v>
      </c>
      <c r="J13" s="20">
        <v>0</v>
      </c>
      <c r="K13" s="20">
        <v>5</v>
      </c>
      <c r="L13" s="20">
        <v>0</v>
      </c>
      <c r="M13" s="20">
        <v>0.5</v>
      </c>
      <c r="N13" s="20">
        <v>23</v>
      </c>
      <c r="O13" s="20">
        <v>400</v>
      </c>
      <c r="P13" s="20">
        <v>206000</v>
      </c>
      <c r="Q13" s="20">
        <v>0</v>
      </c>
      <c r="R13" s="20">
        <v>24.66</v>
      </c>
      <c r="S13" s="20">
        <v>37.36</v>
      </c>
      <c r="T13" s="20">
        <f t="shared" si="0"/>
        <v>37.980000000000004</v>
      </c>
      <c r="U13" s="20">
        <f t="shared" si="1"/>
        <v>1.38</v>
      </c>
      <c r="V13" s="20">
        <v>0.33</v>
      </c>
      <c r="W13" s="20">
        <v>0.18</v>
      </c>
      <c r="X13" s="20">
        <v>-1</v>
      </c>
      <c r="Y13" s="20">
        <v>-1</v>
      </c>
      <c r="Z13" s="20">
        <v>-1</v>
      </c>
      <c r="AA13" s="20">
        <v>-1</v>
      </c>
      <c r="AB13" s="20">
        <v>-1</v>
      </c>
      <c r="AC13" s="20">
        <v>-1</v>
      </c>
      <c r="AD13" s="20">
        <v>4.21</v>
      </c>
      <c r="AE13" s="20">
        <v>4.21</v>
      </c>
      <c r="AF13" s="20">
        <v>-1</v>
      </c>
      <c r="AG13" s="20">
        <v>6.9999999999999994E-5</v>
      </c>
      <c r="AH13" s="20">
        <v>3.5000000000000003E-2</v>
      </c>
      <c r="AI13" s="20">
        <v>7.0000000000000007E-2</v>
      </c>
      <c r="AJ13" s="20">
        <v>0.2</v>
      </c>
      <c r="AK13" s="20">
        <v>1.0000000000000001E-7</v>
      </c>
      <c r="AL13" s="20">
        <v>0.6</v>
      </c>
      <c r="AM13" s="20">
        <v>0.2</v>
      </c>
      <c r="AN13" s="20">
        <v>10</v>
      </c>
      <c r="AO13" s="20">
        <v>50</v>
      </c>
      <c r="AP13" s="20">
        <v>10</v>
      </c>
      <c r="AQ13" s="20">
        <v>0.1</v>
      </c>
      <c r="AR13" s="20">
        <v>8</v>
      </c>
      <c r="AS13" s="20">
        <v>9.9999999999999991E-6</v>
      </c>
    </row>
    <row r="14" spans="1:45" x14ac:dyDescent="0.25">
      <c r="A14" s="20" t="s">
        <v>291</v>
      </c>
      <c r="B14" s="20">
        <v>45</v>
      </c>
      <c r="C14" s="20" t="s">
        <v>363</v>
      </c>
      <c r="D14" s="20">
        <v>3.8600000000000001E-3</v>
      </c>
      <c r="E14" s="20">
        <v>-1</v>
      </c>
      <c r="F14" s="20">
        <v>-1</v>
      </c>
      <c r="G14" s="20">
        <v>0</v>
      </c>
      <c r="H14" s="20">
        <v>0</v>
      </c>
      <c r="I14" s="20">
        <v>0</v>
      </c>
      <c r="J14" s="20">
        <v>0</v>
      </c>
      <c r="K14" s="20">
        <v>5</v>
      </c>
      <c r="L14" s="20">
        <v>0</v>
      </c>
      <c r="M14" s="20">
        <v>0.5</v>
      </c>
      <c r="N14" s="20">
        <v>23</v>
      </c>
      <c r="O14" s="20">
        <v>400</v>
      </c>
      <c r="P14" s="20">
        <v>206000</v>
      </c>
      <c r="Q14" s="20">
        <v>0</v>
      </c>
      <c r="R14" s="20">
        <v>24.66</v>
      </c>
      <c r="S14" s="20">
        <v>37.36</v>
      </c>
      <c r="T14" s="20">
        <f t="shared" si="0"/>
        <v>37.980000000000004</v>
      </c>
      <c r="U14" s="20">
        <f t="shared" si="1"/>
        <v>1.44</v>
      </c>
      <c r="V14" s="20">
        <v>0.33</v>
      </c>
      <c r="W14" s="20">
        <v>0.18</v>
      </c>
      <c r="X14" s="20">
        <v>-1</v>
      </c>
      <c r="Y14" s="20">
        <v>-1</v>
      </c>
      <c r="Z14" s="20">
        <v>-1</v>
      </c>
      <c r="AA14" s="20">
        <v>-1</v>
      </c>
      <c r="AB14" s="20">
        <v>-1</v>
      </c>
      <c r="AC14" s="20">
        <v>-1</v>
      </c>
      <c r="AD14" s="20">
        <v>1.1499999999999999</v>
      </c>
      <c r="AE14" s="20">
        <v>1.1499999999999999</v>
      </c>
      <c r="AF14" s="20">
        <v>-1</v>
      </c>
      <c r="AG14" s="20">
        <v>6.9999999999999994E-5</v>
      </c>
      <c r="AH14" s="20">
        <v>3.5000000000000003E-2</v>
      </c>
      <c r="AI14" s="20">
        <v>7.0000000000000007E-2</v>
      </c>
      <c r="AJ14" s="20">
        <v>0.2</v>
      </c>
      <c r="AK14" s="20">
        <v>1.0000000000000001E-7</v>
      </c>
      <c r="AL14" s="20">
        <v>0.6</v>
      </c>
      <c r="AM14" s="20">
        <v>0.2</v>
      </c>
      <c r="AN14" s="20">
        <v>10</v>
      </c>
      <c r="AO14" s="20">
        <v>50</v>
      </c>
      <c r="AP14" s="20">
        <v>10</v>
      </c>
      <c r="AQ14" s="20">
        <v>0.1</v>
      </c>
      <c r="AR14" s="20">
        <v>8</v>
      </c>
      <c r="AS14" s="20">
        <v>9.9999999999999991E-6</v>
      </c>
    </row>
    <row r="15" spans="1:45" x14ac:dyDescent="0.25">
      <c r="A15" s="20" t="s">
        <v>294</v>
      </c>
      <c r="B15" s="20">
        <v>15</v>
      </c>
      <c r="C15" s="20" t="s">
        <v>363</v>
      </c>
      <c r="D15" s="20">
        <v>9.5600000000000008E-3</v>
      </c>
      <c r="E15" s="20">
        <v>-1</v>
      </c>
      <c r="F15" s="20">
        <v>-1</v>
      </c>
      <c r="G15" s="20">
        <v>0</v>
      </c>
      <c r="H15" s="20">
        <v>0</v>
      </c>
      <c r="I15" s="20">
        <v>0</v>
      </c>
      <c r="J15" s="20">
        <v>0</v>
      </c>
      <c r="K15" s="20">
        <v>5</v>
      </c>
      <c r="L15" s="20">
        <v>0</v>
      </c>
      <c r="M15" s="20">
        <v>0.5</v>
      </c>
      <c r="N15" s="20">
        <v>23</v>
      </c>
      <c r="O15" s="20">
        <v>400</v>
      </c>
      <c r="P15" s="20">
        <v>206000</v>
      </c>
      <c r="Q15" s="20">
        <v>0</v>
      </c>
      <c r="R15" s="20">
        <v>19.64</v>
      </c>
      <c r="S15" s="20">
        <v>38.54</v>
      </c>
      <c r="T15" s="20">
        <f t="shared" si="0"/>
        <v>41.82</v>
      </c>
      <c r="U15" s="20">
        <f t="shared" si="1"/>
        <v>1.18</v>
      </c>
      <c r="V15" s="20">
        <v>0.34</v>
      </c>
      <c r="W15" s="20">
        <v>0.18</v>
      </c>
      <c r="X15" s="20">
        <v>-1</v>
      </c>
      <c r="Y15" s="20">
        <v>-1</v>
      </c>
      <c r="Z15" s="20">
        <v>-1</v>
      </c>
      <c r="AA15" s="20">
        <v>-1</v>
      </c>
      <c r="AB15" s="20">
        <v>-1</v>
      </c>
      <c r="AC15" s="20">
        <v>-1</v>
      </c>
      <c r="AD15" s="20">
        <v>16.13</v>
      </c>
      <c r="AE15" s="20">
        <v>16.13</v>
      </c>
      <c r="AF15" s="20">
        <v>-1</v>
      </c>
      <c r="AG15" s="20">
        <v>6.9999999999999994E-5</v>
      </c>
      <c r="AH15" s="20">
        <v>3.5000000000000003E-2</v>
      </c>
      <c r="AI15" s="20">
        <v>7.0000000000000007E-2</v>
      </c>
      <c r="AJ15" s="20">
        <v>0.2</v>
      </c>
      <c r="AK15" s="20">
        <v>1.0000000000000001E-7</v>
      </c>
      <c r="AL15" s="20">
        <v>0.6</v>
      </c>
      <c r="AM15" s="20">
        <v>0.2</v>
      </c>
      <c r="AN15" s="20">
        <v>10</v>
      </c>
      <c r="AO15" s="20">
        <v>50</v>
      </c>
      <c r="AP15" s="20">
        <v>10</v>
      </c>
      <c r="AQ15" s="20">
        <v>0.1</v>
      </c>
      <c r="AR15" s="20">
        <v>8</v>
      </c>
      <c r="AS15" s="20">
        <v>9.9999999999999991E-6</v>
      </c>
    </row>
    <row r="16" spans="1:45" x14ac:dyDescent="0.25">
      <c r="A16" s="20" t="s">
        <v>294</v>
      </c>
      <c r="B16" s="20">
        <v>30</v>
      </c>
      <c r="C16" s="20" t="s">
        <v>363</v>
      </c>
      <c r="D16" s="20">
        <v>6.2599999999999999E-3</v>
      </c>
      <c r="E16" s="20">
        <v>-1</v>
      </c>
      <c r="F16" s="20">
        <v>-1</v>
      </c>
      <c r="G16" s="20">
        <v>0</v>
      </c>
      <c r="H16" s="20">
        <v>0</v>
      </c>
      <c r="I16" s="20">
        <v>0</v>
      </c>
      <c r="J16" s="20">
        <v>0</v>
      </c>
      <c r="K16" s="20">
        <v>5</v>
      </c>
      <c r="L16" s="20">
        <v>0</v>
      </c>
      <c r="M16" s="20">
        <v>0.5</v>
      </c>
      <c r="N16" s="20">
        <v>23</v>
      </c>
      <c r="O16" s="20">
        <v>400</v>
      </c>
      <c r="P16" s="20">
        <v>206000</v>
      </c>
      <c r="Q16" s="20">
        <v>0</v>
      </c>
      <c r="R16" s="20">
        <v>24.66</v>
      </c>
      <c r="S16" s="20">
        <v>37.36</v>
      </c>
      <c r="T16" s="20">
        <f t="shared" si="0"/>
        <v>37.980000000000004</v>
      </c>
      <c r="U16" s="20">
        <f t="shared" si="1"/>
        <v>1.38</v>
      </c>
      <c r="V16" s="20">
        <v>0.33</v>
      </c>
      <c r="W16" s="20">
        <v>0.18</v>
      </c>
      <c r="X16" s="20">
        <v>-1</v>
      </c>
      <c r="Y16" s="20">
        <v>-1</v>
      </c>
      <c r="Z16" s="20">
        <v>-1</v>
      </c>
      <c r="AA16" s="20">
        <v>-1</v>
      </c>
      <c r="AB16" s="20">
        <v>-1</v>
      </c>
      <c r="AC16" s="20">
        <v>-1</v>
      </c>
      <c r="AD16" s="20">
        <v>4.21</v>
      </c>
      <c r="AE16" s="20">
        <v>4.21</v>
      </c>
      <c r="AF16" s="20">
        <v>-1</v>
      </c>
      <c r="AG16" s="20">
        <v>6.9999999999999994E-5</v>
      </c>
      <c r="AH16" s="20">
        <v>3.5000000000000003E-2</v>
      </c>
      <c r="AI16" s="20">
        <v>7.0000000000000007E-2</v>
      </c>
      <c r="AJ16" s="20">
        <v>0.2</v>
      </c>
      <c r="AK16" s="20">
        <v>1.0000000000000001E-7</v>
      </c>
      <c r="AL16" s="20">
        <v>0.6</v>
      </c>
      <c r="AM16" s="20">
        <v>0.2</v>
      </c>
      <c r="AN16" s="20">
        <v>10</v>
      </c>
      <c r="AO16" s="20">
        <v>50</v>
      </c>
      <c r="AP16" s="20">
        <v>10</v>
      </c>
      <c r="AQ16" s="20">
        <v>0.1</v>
      </c>
      <c r="AR16" s="20">
        <v>8</v>
      </c>
      <c r="AS16" s="20">
        <v>9.9999999999999991E-6</v>
      </c>
    </row>
    <row r="17" spans="1:45" x14ac:dyDescent="0.25">
      <c r="A17" s="20" t="s">
        <v>294</v>
      </c>
      <c r="B17" s="20">
        <v>45</v>
      </c>
      <c r="C17" s="20" t="s">
        <v>363</v>
      </c>
      <c r="D17" s="20">
        <v>3.2499999999999999E-3</v>
      </c>
      <c r="E17" s="20">
        <v>-1</v>
      </c>
      <c r="F17" s="20">
        <v>-1</v>
      </c>
      <c r="G17" s="20">
        <v>0</v>
      </c>
      <c r="H17" s="20">
        <v>0</v>
      </c>
      <c r="I17" s="20">
        <v>0</v>
      </c>
      <c r="J17" s="20">
        <v>0</v>
      </c>
      <c r="K17" s="20">
        <v>5</v>
      </c>
      <c r="L17" s="20">
        <v>0</v>
      </c>
      <c r="M17" s="20">
        <v>0.5</v>
      </c>
      <c r="N17" s="20">
        <v>23</v>
      </c>
      <c r="O17" s="20">
        <v>400</v>
      </c>
      <c r="P17" s="20">
        <v>206000</v>
      </c>
      <c r="Q17" s="20">
        <v>0</v>
      </c>
      <c r="R17" s="20">
        <v>24.66</v>
      </c>
      <c r="S17" s="20">
        <v>37.36</v>
      </c>
      <c r="T17" s="20">
        <f t="shared" si="0"/>
        <v>37.980000000000004</v>
      </c>
      <c r="U17" s="20">
        <f t="shared" si="1"/>
        <v>1.44</v>
      </c>
      <c r="V17" s="20">
        <v>0.33</v>
      </c>
      <c r="W17" s="20">
        <v>0.18</v>
      </c>
      <c r="X17" s="20">
        <v>-1</v>
      </c>
      <c r="Y17" s="20">
        <v>-1</v>
      </c>
      <c r="Z17" s="20">
        <v>-1</v>
      </c>
      <c r="AA17" s="20">
        <v>-1</v>
      </c>
      <c r="AB17" s="20">
        <v>-1</v>
      </c>
      <c r="AC17" s="20">
        <v>-1</v>
      </c>
      <c r="AD17" s="20">
        <v>1.1499999999999999</v>
      </c>
      <c r="AE17" s="20">
        <v>1.1499999999999999</v>
      </c>
      <c r="AF17" s="20">
        <v>-1</v>
      </c>
      <c r="AG17" s="20">
        <v>6.9999999999999994E-5</v>
      </c>
      <c r="AH17" s="20">
        <v>3.5000000000000003E-2</v>
      </c>
      <c r="AI17" s="20">
        <v>7.0000000000000007E-2</v>
      </c>
      <c r="AJ17" s="20">
        <v>0.2</v>
      </c>
      <c r="AK17" s="20">
        <v>1.0000000000000001E-7</v>
      </c>
      <c r="AL17" s="20">
        <v>0.6</v>
      </c>
      <c r="AM17" s="20">
        <v>0.2</v>
      </c>
      <c r="AN17" s="20">
        <v>10</v>
      </c>
      <c r="AO17" s="20">
        <v>50</v>
      </c>
      <c r="AP17" s="20">
        <v>10</v>
      </c>
      <c r="AQ17" s="20">
        <v>0.1</v>
      </c>
      <c r="AR17" s="20">
        <v>8</v>
      </c>
      <c r="AS17" s="20">
        <v>9.9999999999999991E-6</v>
      </c>
    </row>
    <row r="18" spans="1:45" x14ac:dyDescent="0.25">
      <c r="A18" s="20" t="s">
        <v>297</v>
      </c>
      <c r="B18" s="20">
        <v>15</v>
      </c>
      <c r="C18" s="20" t="s">
        <v>363</v>
      </c>
      <c r="D18" s="20">
        <v>9.9600000000000001E-3</v>
      </c>
      <c r="E18" s="20">
        <v>-1</v>
      </c>
      <c r="F18" s="20">
        <v>-1</v>
      </c>
      <c r="G18" s="20">
        <v>0</v>
      </c>
      <c r="H18" s="20">
        <v>0</v>
      </c>
      <c r="I18" s="20">
        <v>0</v>
      </c>
      <c r="J18" s="20">
        <v>0</v>
      </c>
      <c r="K18" s="20">
        <v>5</v>
      </c>
      <c r="L18" s="20">
        <v>0</v>
      </c>
      <c r="M18" s="20">
        <v>0.5</v>
      </c>
      <c r="N18" s="20">
        <v>23</v>
      </c>
      <c r="O18" s="20">
        <v>400</v>
      </c>
      <c r="P18" s="20">
        <v>206000</v>
      </c>
      <c r="Q18" s="20">
        <v>0</v>
      </c>
      <c r="R18" s="20">
        <v>19.64</v>
      </c>
      <c r="S18" s="20">
        <v>38.54</v>
      </c>
      <c r="T18" s="20">
        <f t="shared" si="0"/>
        <v>41.82</v>
      </c>
      <c r="U18" s="20">
        <f t="shared" si="1"/>
        <v>1.18</v>
      </c>
      <c r="V18" s="20">
        <v>0.34</v>
      </c>
      <c r="W18" s="20">
        <v>0.18</v>
      </c>
      <c r="X18" s="20">
        <v>-1</v>
      </c>
      <c r="Y18" s="20">
        <v>-1</v>
      </c>
      <c r="Z18" s="20">
        <v>-1</v>
      </c>
      <c r="AA18" s="20">
        <v>-1</v>
      </c>
      <c r="AB18" s="20">
        <v>-1</v>
      </c>
      <c r="AC18" s="20">
        <v>-1</v>
      </c>
      <c r="AD18" s="20">
        <v>16.13</v>
      </c>
      <c r="AE18" s="20">
        <v>16.13</v>
      </c>
      <c r="AF18" s="20">
        <v>-1</v>
      </c>
      <c r="AG18" s="20">
        <v>6.9999999999999994E-5</v>
      </c>
      <c r="AH18" s="20">
        <v>3.5000000000000003E-2</v>
      </c>
      <c r="AI18" s="20">
        <v>7.0000000000000007E-2</v>
      </c>
      <c r="AJ18" s="20">
        <v>0.2</v>
      </c>
      <c r="AK18" s="20">
        <v>1.0000000000000001E-7</v>
      </c>
      <c r="AL18" s="20">
        <v>0.6</v>
      </c>
      <c r="AM18" s="20">
        <v>0.2</v>
      </c>
      <c r="AN18" s="20">
        <v>10</v>
      </c>
      <c r="AO18" s="20">
        <v>50</v>
      </c>
      <c r="AP18" s="20">
        <v>10</v>
      </c>
      <c r="AQ18" s="20">
        <v>0.1</v>
      </c>
      <c r="AR18" s="20">
        <v>8</v>
      </c>
      <c r="AS18" s="20">
        <v>9.9999999999999991E-6</v>
      </c>
    </row>
    <row r="19" spans="1:45" x14ac:dyDescent="0.25">
      <c r="A19" s="20" t="s">
        <v>297</v>
      </c>
      <c r="B19" s="20">
        <v>30</v>
      </c>
      <c r="C19" s="20" t="s">
        <v>363</v>
      </c>
      <c r="D19" s="20">
        <v>6.5599999999999999E-3</v>
      </c>
      <c r="E19" s="20">
        <v>-1</v>
      </c>
      <c r="F19" s="20">
        <v>-1</v>
      </c>
      <c r="G19" s="20">
        <v>0</v>
      </c>
      <c r="H19" s="20">
        <v>0</v>
      </c>
      <c r="I19" s="20">
        <v>0</v>
      </c>
      <c r="J19" s="20">
        <v>0</v>
      </c>
      <c r="K19" s="20">
        <v>5</v>
      </c>
      <c r="L19" s="20">
        <v>0</v>
      </c>
      <c r="M19" s="20">
        <v>0.5</v>
      </c>
      <c r="N19" s="20">
        <v>23</v>
      </c>
      <c r="O19" s="20">
        <v>400</v>
      </c>
      <c r="P19" s="20">
        <v>206000</v>
      </c>
      <c r="Q19" s="20">
        <v>0</v>
      </c>
      <c r="R19" s="20">
        <v>24.66</v>
      </c>
      <c r="S19" s="20">
        <v>37.36</v>
      </c>
      <c r="T19" s="20">
        <f t="shared" si="0"/>
        <v>37.980000000000004</v>
      </c>
      <c r="U19" s="20">
        <f t="shared" si="1"/>
        <v>1.38</v>
      </c>
      <c r="V19" s="20">
        <v>0.33</v>
      </c>
      <c r="W19" s="20">
        <v>0.18</v>
      </c>
      <c r="X19" s="20">
        <v>-1</v>
      </c>
      <c r="Y19" s="20">
        <v>-1</v>
      </c>
      <c r="Z19" s="20">
        <v>-1</v>
      </c>
      <c r="AA19" s="20">
        <v>-1</v>
      </c>
      <c r="AB19" s="20">
        <v>-1</v>
      </c>
      <c r="AC19" s="20">
        <v>-1</v>
      </c>
      <c r="AD19" s="20">
        <v>4.21</v>
      </c>
      <c r="AE19" s="20">
        <v>4.21</v>
      </c>
      <c r="AF19" s="20">
        <v>-1</v>
      </c>
      <c r="AG19" s="20">
        <v>6.9999999999999994E-5</v>
      </c>
      <c r="AH19" s="20">
        <v>3.5000000000000003E-2</v>
      </c>
      <c r="AI19" s="20">
        <v>7.0000000000000007E-2</v>
      </c>
      <c r="AJ19" s="20">
        <v>0.2</v>
      </c>
      <c r="AK19" s="20">
        <v>1.0000000000000001E-7</v>
      </c>
      <c r="AL19" s="20">
        <v>0.6</v>
      </c>
      <c r="AM19" s="20">
        <v>0.2</v>
      </c>
      <c r="AN19" s="20">
        <v>10</v>
      </c>
      <c r="AO19" s="20">
        <v>50</v>
      </c>
      <c r="AP19" s="20">
        <v>10</v>
      </c>
      <c r="AQ19" s="20">
        <v>0.1</v>
      </c>
      <c r="AR19" s="20">
        <v>8</v>
      </c>
      <c r="AS19" s="20">
        <v>9.9999999999999991E-6</v>
      </c>
    </row>
    <row r="20" spans="1:45" x14ac:dyDescent="0.25">
      <c r="A20" s="20" t="s">
        <v>297</v>
      </c>
      <c r="B20" s="20">
        <v>45</v>
      </c>
      <c r="C20" s="20" t="s">
        <v>363</v>
      </c>
      <c r="D20" s="20">
        <v>4.5599999999999998E-3</v>
      </c>
      <c r="E20" s="20">
        <v>-1</v>
      </c>
      <c r="F20" s="20">
        <v>-1</v>
      </c>
      <c r="G20" s="20">
        <v>0</v>
      </c>
      <c r="H20" s="20">
        <v>0</v>
      </c>
      <c r="I20" s="20">
        <v>0</v>
      </c>
      <c r="J20" s="20">
        <v>0</v>
      </c>
      <c r="K20" s="20">
        <v>5</v>
      </c>
      <c r="L20" s="20">
        <v>0</v>
      </c>
      <c r="M20" s="20">
        <v>0.5</v>
      </c>
      <c r="N20" s="20">
        <v>23</v>
      </c>
      <c r="O20" s="20">
        <v>400</v>
      </c>
      <c r="P20" s="20">
        <v>206000</v>
      </c>
      <c r="Q20" s="20">
        <v>0</v>
      </c>
      <c r="R20" s="20">
        <v>24.66</v>
      </c>
      <c r="S20" s="20">
        <v>37.36</v>
      </c>
      <c r="T20" s="20">
        <f t="shared" si="0"/>
        <v>37.980000000000004</v>
      </c>
      <c r="U20" s="20">
        <f t="shared" si="1"/>
        <v>1.44</v>
      </c>
      <c r="V20" s="20">
        <v>0.33</v>
      </c>
      <c r="W20" s="20">
        <v>0.18</v>
      </c>
      <c r="X20" s="20">
        <v>-1</v>
      </c>
      <c r="Y20" s="20">
        <v>-1</v>
      </c>
      <c r="Z20" s="20">
        <v>-1</v>
      </c>
      <c r="AA20" s="20">
        <v>-1</v>
      </c>
      <c r="AB20" s="20">
        <v>-1</v>
      </c>
      <c r="AC20" s="20">
        <v>-1</v>
      </c>
      <c r="AD20" s="20">
        <v>1.1499999999999999</v>
      </c>
      <c r="AE20" s="20">
        <v>1.1499999999999999</v>
      </c>
      <c r="AF20" s="20">
        <v>-1</v>
      </c>
      <c r="AG20" s="20">
        <v>6.9999999999999994E-5</v>
      </c>
      <c r="AH20" s="20">
        <v>3.5000000000000003E-2</v>
      </c>
      <c r="AI20" s="20">
        <v>7.0000000000000007E-2</v>
      </c>
      <c r="AJ20" s="20">
        <v>0.2</v>
      </c>
      <c r="AK20" s="20">
        <v>1.0000000000000001E-7</v>
      </c>
      <c r="AL20" s="20">
        <v>0.6</v>
      </c>
      <c r="AM20" s="20">
        <v>0.2</v>
      </c>
      <c r="AN20" s="20">
        <v>10</v>
      </c>
      <c r="AO20" s="20">
        <v>50</v>
      </c>
      <c r="AP20" s="20">
        <v>10</v>
      </c>
      <c r="AQ20" s="20">
        <v>0.1</v>
      </c>
      <c r="AR20" s="20">
        <v>8</v>
      </c>
      <c r="AS20" s="20">
        <v>9.9999999999999991E-6</v>
      </c>
    </row>
    <row r="21" spans="1:45" x14ac:dyDescent="0.25">
      <c r="A21" s="20" t="s">
        <v>300</v>
      </c>
      <c r="B21" s="20">
        <v>15</v>
      </c>
      <c r="C21" s="20" t="s">
        <v>363</v>
      </c>
      <c r="D21" s="20">
        <v>9.3600000000000003E-3</v>
      </c>
      <c r="E21" s="20">
        <v>-1</v>
      </c>
      <c r="F21" s="20">
        <v>-1</v>
      </c>
      <c r="G21" s="20">
        <v>0</v>
      </c>
      <c r="H21" s="20">
        <v>0</v>
      </c>
      <c r="I21" s="20">
        <v>0</v>
      </c>
      <c r="J21" s="20">
        <v>0</v>
      </c>
      <c r="K21" s="20">
        <v>5</v>
      </c>
      <c r="L21" s="20">
        <v>0</v>
      </c>
      <c r="M21" s="20">
        <v>0.5</v>
      </c>
      <c r="N21" s="20">
        <v>23</v>
      </c>
      <c r="O21" s="20">
        <v>400</v>
      </c>
      <c r="P21" s="20">
        <v>206000</v>
      </c>
      <c r="Q21" s="20">
        <v>0</v>
      </c>
      <c r="R21" s="20">
        <v>19.64</v>
      </c>
      <c r="S21" s="20">
        <v>38.54</v>
      </c>
      <c r="T21" s="20">
        <f>100-R21-S21</f>
        <v>41.82</v>
      </c>
      <c r="U21" s="20">
        <f t="shared" si="1"/>
        <v>1.18</v>
      </c>
      <c r="V21" s="20">
        <v>0.33</v>
      </c>
      <c r="W21" s="20">
        <v>0.18</v>
      </c>
      <c r="X21" s="20">
        <v>-1</v>
      </c>
      <c r="Y21" s="20">
        <v>-1</v>
      </c>
      <c r="Z21" s="20">
        <v>-1</v>
      </c>
      <c r="AA21" s="20">
        <v>-1</v>
      </c>
      <c r="AB21" s="20">
        <v>-1</v>
      </c>
      <c r="AC21" s="20">
        <v>-1</v>
      </c>
      <c r="AD21" s="20">
        <v>1.1499999999999999</v>
      </c>
      <c r="AE21" s="20">
        <v>1.1499999999999999</v>
      </c>
      <c r="AF21" s="20">
        <v>-1</v>
      </c>
      <c r="AG21" s="20">
        <v>6.9999999999999994E-5</v>
      </c>
      <c r="AH21" s="20">
        <v>3.5000000000000003E-2</v>
      </c>
      <c r="AI21" s="20">
        <v>7.0000000000000007E-2</v>
      </c>
      <c r="AJ21" s="20">
        <v>0.2</v>
      </c>
      <c r="AK21" s="20">
        <v>1.0000000000000001E-7</v>
      </c>
      <c r="AL21" s="20">
        <v>0.6</v>
      </c>
      <c r="AM21" s="20">
        <v>0.2</v>
      </c>
      <c r="AN21" s="20">
        <v>10</v>
      </c>
      <c r="AO21" s="20">
        <v>50</v>
      </c>
      <c r="AP21" s="20">
        <v>10</v>
      </c>
      <c r="AQ21" s="20">
        <v>0.1</v>
      </c>
      <c r="AR21" s="20">
        <v>8</v>
      </c>
      <c r="AS21" s="20">
        <v>9.9999999999999991E-6</v>
      </c>
    </row>
    <row r="22" spans="1:45" x14ac:dyDescent="0.25">
      <c r="A22" s="20" t="s">
        <v>300</v>
      </c>
      <c r="B22" s="20">
        <v>30</v>
      </c>
      <c r="C22" s="20" t="s">
        <v>363</v>
      </c>
      <c r="D22" s="20">
        <v>5.7000000000000002E-3</v>
      </c>
      <c r="E22" s="20">
        <v>-1</v>
      </c>
      <c r="F22" s="20">
        <v>-1</v>
      </c>
      <c r="G22" s="20">
        <v>0</v>
      </c>
      <c r="H22" s="20">
        <v>0</v>
      </c>
      <c r="I22" s="20">
        <v>0</v>
      </c>
      <c r="J22" s="20">
        <v>0</v>
      </c>
      <c r="K22" s="20">
        <v>5</v>
      </c>
      <c r="L22" s="20">
        <v>0</v>
      </c>
      <c r="M22" s="20">
        <v>0.5</v>
      </c>
      <c r="N22" s="20">
        <v>23</v>
      </c>
      <c r="O22" s="20">
        <v>400</v>
      </c>
      <c r="P22" s="20">
        <v>206000</v>
      </c>
      <c r="Q22" s="20">
        <v>0</v>
      </c>
      <c r="R22" s="20">
        <v>24.66</v>
      </c>
      <c r="S22" s="20">
        <v>37.36</v>
      </c>
      <c r="T22" s="20">
        <f>100-R22-S22</f>
        <v>37.980000000000004</v>
      </c>
      <c r="U22" s="20">
        <f t="shared" si="1"/>
        <v>1.38</v>
      </c>
      <c r="V22" s="20">
        <v>0.33</v>
      </c>
      <c r="W22" s="20">
        <v>0.18</v>
      </c>
      <c r="X22" s="20">
        <v>-1</v>
      </c>
      <c r="Y22" s="20">
        <v>-1</v>
      </c>
      <c r="Z22" s="20">
        <v>-1</v>
      </c>
      <c r="AA22" s="20">
        <v>-1</v>
      </c>
      <c r="AB22" s="20">
        <v>-1</v>
      </c>
      <c r="AC22" s="20">
        <v>-1</v>
      </c>
      <c r="AD22" s="20">
        <v>1.1499999999999999</v>
      </c>
      <c r="AE22" s="20">
        <v>1.1499999999999999</v>
      </c>
      <c r="AF22" s="20">
        <v>-1</v>
      </c>
      <c r="AG22" s="20">
        <v>6.9999999999999994E-5</v>
      </c>
      <c r="AH22" s="20">
        <v>3.5000000000000003E-2</v>
      </c>
      <c r="AI22" s="20">
        <v>7.0000000000000007E-2</v>
      </c>
      <c r="AJ22" s="20">
        <v>0.2</v>
      </c>
      <c r="AK22" s="20">
        <v>1.0000000000000001E-7</v>
      </c>
      <c r="AL22" s="20">
        <v>0.6</v>
      </c>
      <c r="AM22" s="20">
        <v>0.2</v>
      </c>
      <c r="AN22" s="20">
        <v>10</v>
      </c>
      <c r="AO22" s="20">
        <v>50</v>
      </c>
      <c r="AP22" s="20">
        <v>10</v>
      </c>
      <c r="AQ22" s="20">
        <v>0.1</v>
      </c>
      <c r="AR22" s="20">
        <v>8</v>
      </c>
      <c r="AS22" s="20">
        <v>9.9999999999999991E-6</v>
      </c>
    </row>
    <row r="23" spans="1:45" x14ac:dyDescent="0.25">
      <c r="A23" s="20" t="s">
        <v>300</v>
      </c>
      <c r="B23" s="20">
        <v>45</v>
      </c>
      <c r="C23" s="20" t="s">
        <v>363</v>
      </c>
      <c r="D23" s="20">
        <v>3.2499999999999999E-3</v>
      </c>
      <c r="E23" s="20">
        <v>-1</v>
      </c>
      <c r="F23" s="20">
        <v>-1</v>
      </c>
      <c r="G23" s="20">
        <v>0</v>
      </c>
      <c r="H23" s="20">
        <v>0</v>
      </c>
      <c r="I23" s="20">
        <v>0</v>
      </c>
      <c r="J23" s="20">
        <v>0</v>
      </c>
      <c r="K23" s="20">
        <v>5</v>
      </c>
      <c r="L23" s="20">
        <v>0</v>
      </c>
      <c r="M23" s="20">
        <v>0.5</v>
      </c>
      <c r="N23" s="20">
        <v>23</v>
      </c>
      <c r="O23" s="20">
        <v>400</v>
      </c>
      <c r="P23" s="20">
        <v>206000</v>
      </c>
      <c r="Q23" s="20">
        <v>0</v>
      </c>
      <c r="R23" s="20">
        <v>24.66</v>
      </c>
      <c r="S23" s="20">
        <v>37.36</v>
      </c>
      <c r="T23" s="20">
        <f t="shared" ref="T23:T41" si="2">100-R23-S23</f>
        <v>37.980000000000004</v>
      </c>
      <c r="U23" s="20">
        <f t="shared" si="1"/>
        <v>1.44</v>
      </c>
      <c r="V23" s="20">
        <v>0.33</v>
      </c>
      <c r="W23" s="20">
        <v>0.18</v>
      </c>
      <c r="X23" s="20">
        <v>-1</v>
      </c>
      <c r="Y23" s="20">
        <v>-1</v>
      </c>
      <c r="Z23" s="20">
        <v>-1</v>
      </c>
      <c r="AA23" s="20">
        <v>-1</v>
      </c>
      <c r="AB23" s="20">
        <v>-1</v>
      </c>
      <c r="AC23" s="20">
        <v>-1</v>
      </c>
      <c r="AD23" s="20">
        <v>1.1499999999999999</v>
      </c>
      <c r="AE23" s="20">
        <v>1.1499999999999999</v>
      </c>
      <c r="AF23" s="20">
        <v>-1</v>
      </c>
      <c r="AG23" s="20">
        <v>6.9999999999999994E-5</v>
      </c>
      <c r="AH23" s="20">
        <v>3.5000000000000003E-2</v>
      </c>
      <c r="AI23" s="20">
        <v>7.0000000000000007E-2</v>
      </c>
      <c r="AJ23" s="20">
        <v>0.2</v>
      </c>
      <c r="AK23" s="20">
        <v>1.0000000000000001E-7</v>
      </c>
      <c r="AL23" s="20">
        <v>0.6</v>
      </c>
      <c r="AM23" s="20">
        <v>0.2</v>
      </c>
      <c r="AN23" s="20">
        <v>10</v>
      </c>
      <c r="AO23" s="20">
        <v>50</v>
      </c>
      <c r="AP23" s="20">
        <v>10</v>
      </c>
      <c r="AQ23" s="20">
        <v>0.1</v>
      </c>
      <c r="AR23" s="20">
        <v>8</v>
      </c>
      <c r="AS23" s="20">
        <v>9.9999999999999991E-6</v>
      </c>
    </row>
    <row r="24" spans="1:45" x14ac:dyDescent="0.25">
      <c r="A24" s="20" t="s">
        <v>303</v>
      </c>
      <c r="B24" s="20">
        <v>15</v>
      </c>
      <c r="C24" s="20" t="s">
        <v>363</v>
      </c>
      <c r="D24" s="20">
        <v>8.8999999999999999E-3</v>
      </c>
      <c r="E24" s="20">
        <v>-1</v>
      </c>
      <c r="F24" s="20">
        <v>-1</v>
      </c>
      <c r="G24" s="20">
        <v>0</v>
      </c>
      <c r="H24" s="20">
        <v>0</v>
      </c>
      <c r="I24" s="20">
        <v>0</v>
      </c>
      <c r="J24" s="20">
        <v>0</v>
      </c>
      <c r="K24" s="20">
        <v>5</v>
      </c>
      <c r="L24" s="20">
        <v>0</v>
      </c>
      <c r="M24" s="20">
        <v>0.5</v>
      </c>
      <c r="N24" s="20">
        <v>23</v>
      </c>
      <c r="O24" s="20">
        <v>400</v>
      </c>
      <c r="P24" s="20">
        <v>206000</v>
      </c>
      <c r="Q24" s="20">
        <v>0</v>
      </c>
      <c r="R24" s="20">
        <v>19.64</v>
      </c>
      <c r="S24" s="20">
        <v>38.54</v>
      </c>
      <c r="T24" s="20">
        <f t="shared" si="2"/>
        <v>41.82</v>
      </c>
      <c r="U24" s="20">
        <f t="shared" si="1"/>
        <v>1.18</v>
      </c>
      <c r="V24" s="20">
        <v>0.33</v>
      </c>
      <c r="W24" s="20">
        <v>0.18</v>
      </c>
      <c r="X24" s="20">
        <v>-1</v>
      </c>
      <c r="Y24" s="20">
        <v>-1</v>
      </c>
      <c r="Z24" s="20">
        <v>-1</v>
      </c>
      <c r="AA24" s="20">
        <v>-1</v>
      </c>
      <c r="AB24" s="20">
        <v>-1</v>
      </c>
      <c r="AC24" s="20">
        <v>-1</v>
      </c>
      <c r="AD24" s="20">
        <v>1.1499999999999999</v>
      </c>
      <c r="AE24" s="20">
        <v>1.1499999999999999</v>
      </c>
      <c r="AF24" s="20">
        <v>-1</v>
      </c>
      <c r="AG24" s="20">
        <v>6.9999999999999994E-5</v>
      </c>
      <c r="AH24" s="20">
        <v>3.5000000000000003E-2</v>
      </c>
      <c r="AI24" s="20">
        <v>7.0000000000000007E-2</v>
      </c>
      <c r="AJ24" s="20">
        <v>0.2</v>
      </c>
      <c r="AK24" s="20">
        <v>1.0000000000000001E-7</v>
      </c>
      <c r="AL24" s="20">
        <v>0.6</v>
      </c>
      <c r="AM24" s="20">
        <v>0.2</v>
      </c>
      <c r="AN24" s="20">
        <v>10</v>
      </c>
      <c r="AO24" s="20">
        <v>50</v>
      </c>
      <c r="AP24" s="20">
        <v>10</v>
      </c>
      <c r="AQ24" s="20">
        <v>0.1</v>
      </c>
      <c r="AR24" s="20">
        <v>8</v>
      </c>
      <c r="AS24" s="20">
        <v>9.9999999999999991E-6</v>
      </c>
    </row>
    <row r="25" spans="1:45" x14ac:dyDescent="0.25">
      <c r="A25" s="20" t="s">
        <v>303</v>
      </c>
      <c r="B25" s="20">
        <v>30</v>
      </c>
      <c r="C25" s="20" t="s">
        <v>363</v>
      </c>
      <c r="D25" s="20">
        <v>6.7000000000000002E-3</v>
      </c>
      <c r="E25" s="20">
        <v>-1</v>
      </c>
      <c r="F25" s="20">
        <v>-1</v>
      </c>
      <c r="G25" s="20">
        <v>0</v>
      </c>
      <c r="H25" s="20">
        <v>0</v>
      </c>
      <c r="I25" s="20">
        <v>0</v>
      </c>
      <c r="J25" s="20">
        <v>0</v>
      </c>
      <c r="K25" s="20">
        <v>5</v>
      </c>
      <c r="L25" s="20">
        <v>0</v>
      </c>
      <c r="M25" s="20">
        <v>0.5</v>
      </c>
      <c r="N25" s="20">
        <v>23</v>
      </c>
      <c r="O25" s="20">
        <v>400</v>
      </c>
      <c r="P25" s="20">
        <v>206000</v>
      </c>
      <c r="Q25" s="20">
        <v>0</v>
      </c>
      <c r="R25" s="20">
        <v>24.66</v>
      </c>
      <c r="S25" s="20">
        <v>37.36</v>
      </c>
      <c r="T25" s="20">
        <f t="shared" si="2"/>
        <v>37.980000000000004</v>
      </c>
      <c r="U25" s="20">
        <f t="shared" si="1"/>
        <v>1.38</v>
      </c>
      <c r="V25" s="20">
        <v>0.33</v>
      </c>
      <c r="W25" s="20">
        <v>0.18</v>
      </c>
      <c r="X25" s="20">
        <v>-1</v>
      </c>
      <c r="Y25" s="20">
        <v>-1</v>
      </c>
      <c r="Z25" s="20">
        <v>-1</v>
      </c>
      <c r="AA25" s="20">
        <v>-1</v>
      </c>
      <c r="AB25" s="20">
        <v>-1</v>
      </c>
      <c r="AC25" s="20">
        <v>-1</v>
      </c>
      <c r="AD25" s="20">
        <v>1.1499999999999999</v>
      </c>
      <c r="AE25" s="20">
        <v>1.1499999999999999</v>
      </c>
      <c r="AF25" s="20">
        <v>-1</v>
      </c>
      <c r="AG25" s="20">
        <v>6.9999999999999994E-5</v>
      </c>
      <c r="AH25" s="20">
        <v>3.5000000000000003E-2</v>
      </c>
      <c r="AI25" s="20">
        <v>7.0000000000000007E-2</v>
      </c>
      <c r="AJ25" s="20">
        <v>0.2</v>
      </c>
      <c r="AK25" s="20">
        <v>1.0000000000000001E-7</v>
      </c>
      <c r="AL25" s="20">
        <v>0.6</v>
      </c>
      <c r="AM25" s="20">
        <v>0.2</v>
      </c>
      <c r="AN25" s="20">
        <v>10</v>
      </c>
      <c r="AO25" s="20">
        <v>50</v>
      </c>
      <c r="AP25" s="20">
        <v>10</v>
      </c>
      <c r="AQ25" s="20">
        <v>0.1</v>
      </c>
      <c r="AR25" s="20">
        <v>8</v>
      </c>
      <c r="AS25" s="20">
        <v>9.9999999999999991E-6</v>
      </c>
    </row>
    <row r="26" spans="1:45" x14ac:dyDescent="0.25">
      <c r="A26" s="20" t="s">
        <v>303</v>
      </c>
      <c r="B26" s="20">
        <v>45</v>
      </c>
      <c r="C26" s="20" t="s">
        <v>363</v>
      </c>
      <c r="D26" s="20">
        <v>3.4399999999999999E-3</v>
      </c>
      <c r="E26" s="20">
        <v>-1</v>
      </c>
      <c r="F26" s="20">
        <v>-1</v>
      </c>
      <c r="G26" s="20">
        <v>0</v>
      </c>
      <c r="H26" s="20">
        <v>0</v>
      </c>
      <c r="I26" s="20">
        <v>0</v>
      </c>
      <c r="J26" s="20">
        <v>0</v>
      </c>
      <c r="K26" s="20">
        <v>5</v>
      </c>
      <c r="L26" s="20">
        <v>0</v>
      </c>
      <c r="M26" s="20">
        <v>0.5</v>
      </c>
      <c r="N26" s="20">
        <v>23</v>
      </c>
      <c r="O26" s="20">
        <v>400</v>
      </c>
      <c r="P26" s="20">
        <v>206000</v>
      </c>
      <c r="Q26" s="20">
        <v>0</v>
      </c>
      <c r="R26" s="20">
        <v>24.66</v>
      </c>
      <c r="S26" s="20">
        <v>37.36</v>
      </c>
      <c r="T26" s="20">
        <f t="shared" si="2"/>
        <v>37.980000000000004</v>
      </c>
      <c r="U26" s="20">
        <f t="shared" si="1"/>
        <v>1.44</v>
      </c>
      <c r="V26" s="20">
        <v>0.33</v>
      </c>
      <c r="W26" s="20">
        <v>0.18</v>
      </c>
      <c r="X26" s="20">
        <v>-1</v>
      </c>
      <c r="Y26" s="20">
        <v>-1</v>
      </c>
      <c r="Z26" s="20">
        <v>-1</v>
      </c>
      <c r="AA26" s="20">
        <v>-1</v>
      </c>
      <c r="AB26" s="20">
        <v>-1</v>
      </c>
      <c r="AC26" s="20">
        <v>-1</v>
      </c>
      <c r="AD26" s="20">
        <v>1.1499999999999999</v>
      </c>
      <c r="AE26" s="20">
        <v>1.1499999999999999</v>
      </c>
      <c r="AF26" s="20">
        <v>-1</v>
      </c>
      <c r="AG26" s="20">
        <v>6.9999999999999994E-5</v>
      </c>
      <c r="AH26" s="20">
        <v>3.5000000000000003E-2</v>
      </c>
      <c r="AI26" s="20">
        <v>7.0000000000000007E-2</v>
      </c>
      <c r="AJ26" s="20">
        <v>0.2</v>
      </c>
      <c r="AK26" s="20">
        <v>1.0000000000000001E-7</v>
      </c>
      <c r="AL26" s="20">
        <v>0.6</v>
      </c>
      <c r="AM26" s="20">
        <v>0.2</v>
      </c>
      <c r="AN26" s="20">
        <v>10</v>
      </c>
      <c r="AO26" s="20">
        <v>50</v>
      </c>
      <c r="AP26" s="20">
        <v>10</v>
      </c>
      <c r="AQ26" s="20">
        <v>0.1</v>
      </c>
      <c r="AR26" s="20">
        <v>8</v>
      </c>
      <c r="AS26" s="20">
        <v>9.9999999999999991E-6</v>
      </c>
    </row>
    <row r="27" spans="1:45" x14ac:dyDescent="0.25">
      <c r="A27" s="20" t="s">
        <v>306</v>
      </c>
      <c r="B27" s="20">
        <v>15</v>
      </c>
      <c r="C27" s="20" t="s">
        <v>363</v>
      </c>
      <c r="D27" s="20">
        <v>9.7999999999999997E-3</v>
      </c>
      <c r="E27" s="20">
        <v>-1</v>
      </c>
      <c r="F27" s="20">
        <v>-1</v>
      </c>
      <c r="G27" s="20">
        <v>0</v>
      </c>
      <c r="H27" s="20">
        <v>0</v>
      </c>
      <c r="I27" s="20">
        <v>0</v>
      </c>
      <c r="J27" s="20">
        <v>0</v>
      </c>
      <c r="K27" s="20">
        <v>5</v>
      </c>
      <c r="L27" s="20">
        <v>0</v>
      </c>
      <c r="M27" s="20">
        <v>0.5</v>
      </c>
      <c r="N27" s="20">
        <v>23</v>
      </c>
      <c r="O27" s="20">
        <v>400</v>
      </c>
      <c r="P27" s="20">
        <v>206000</v>
      </c>
      <c r="Q27" s="20">
        <v>0</v>
      </c>
      <c r="R27" s="20">
        <v>19.64</v>
      </c>
      <c r="S27" s="20">
        <v>38.54</v>
      </c>
      <c r="T27" s="20">
        <f t="shared" si="2"/>
        <v>41.82</v>
      </c>
      <c r="U27" s="20">
        <f t="shared" si="1"/>
        <v>1.18</v>
      </c>
      <c r="V27" s="20">
        <v>0.33</v>
      </c>
      <c r="W27" s="20">
        <v>0.18</v>
      </c>
      <c r="X27" s="20">
        <v>-1</v>
      </c>
      <c r="Y27" s="20">
        <v>-1</v>
      </c>
      <c r="Z27" s="20">
        <v>-1</v>
      </c>
      <c r="AA27" s="20">
        <v>-1</v>
      </c>
      <c r="AB27" s="20">
        <v>-1</v>
      </c>
      <c r="AC27" s="20">
        <v>-1</v>
      </c>
      <c r="AD27" s="20">
        <v>1.1499999999999999</v>
      </c>
      <c r="AE27" s="20">
        <v>1.1499999999999999</v>
      </c>
      <c r="AF27" s="20">
        <v>-1</v>
      </c>
      <c r="AG27" s="20">
        <v>6.9999999999999994E-5</v>
      </c>
      <c r="AH27" s="20">
        <v>3.5000000000000003E-2</v>
      </c>
      <c r="AI27" s="20">
        <v>7.0000000000000007E-2</v>
      </c>
      <c r="AJ27" s="20">
        <v>0.2</v>
      </c>
      <c r="AK27" s="20">
        <v>1.0000000000000001E-7</v>
      </c>
      <c r="AL27" s="20">
        <v>0.6</v>
      </c>
      <c r="AM27" s="20">
        <v>0.2</v>
      </c>
      <c r="AN27" s="20">
        <v>10</v>
      </c>
      <c r="AO27" s="20">
        <v>50</v>
      </c>
      <c r="AP27" s="20">
        <v>10</v>
      </c>
      <c r="AQ27" s="20">
        <v>0.1</v>
      </c>
      <c r="AR27" s="20">
        <v>8</v>
      </c>
      <c r="AS27" s="20">
        <v>9.9999999999999991E-6</v>
      </c>
    </row>
    <row r="28" spans="1:45" x14ac:dyDescent="0.25">
      <c r="A28" s="20" t="s">
        <v>306</v>
      </c>
      <c r="B28" s="20">
        <v>30</v>
      </c>
      <c r="C28" s="20" t="s">
        <v>363</v>
      </c>
      <c r="D28" s="20">
        <v>5.8500000000000002E-3</v>
      </c>
      <c r="E28" s="20">
        <v>-1</v>
      </c>
      <c r="F28" s="20">
        <v>-1</v>
      </c>
      <c r="G28" s="20">
        <v>0</v>
      </c>
      <c r="H28" s="20">
        <v>0</v>
      </c>
      <c r="I28" s="20">
        <v>0</v>
      </c>
      <c r="J28" s="20">
        <v>0</v>
      </c>
      <c r="K28" s="20">
        <v>5</v>
      </c>
      <c r="L28" s="20">
        <v>0</v>
      </c>
      <c r="M28" s="20">
        <v>0.5</v>
      </c>
      <c r="N28" s="20">
        <v>23</v>
      </c>
      <c r="O28" s="20">
        <v>400</v>
      </c>
      <c r="P28" s="20">
        <v>206000</v>
      </c>
      <c r="Q28" s="20">
        <v>0</v>
      </c>
      <c r="R28" s="20">
        <v>24.66</v>
      </c>
      <c r="S28" s="20">
        <v>37.36</v>
      </c>
      <c r="T28" s="20">
        <f t="shared" si="2"/>
        <v>37.980000000000004</v>
      </c>
      <c r="U28" s="20">
        <f t="shared" si="1"/>
        <v>1.38</v>
      </c>
      <c r="V28" s="20">
        <v>0.33</v>
      </c>
      <c r="W28" s="20">
        <v>0.18</v>
      </c>
      <c r="X28" s="20">
        <v>-1</v>
      </c>
      <c r="Y28" s="20">
        <v>-1</v>
      </c>
      <c r="Z28" s="20">
        <v>-1</v>
      </c>
      <c r="AA28" s="20">
        <v>-1</v>
      </c>
      <c r="AB28" s="20">
        <v>-1</v>
      </c>
      <c r="AC28" s="20">
        <v>-1</v>
      </c>
      <c r="AD28" s="20">
        <v>1.1499999999999999</v>
      </c>
      <c r="AE28" s="20">
        <v>1.1499999999999999</v>
      </c>
      <c r="AF28" s="20">
        <v>-1</v>
      </c>
      <c r="AG28" s="20">
        <v>6.9999999999999994E-5</v>
      </c>
      <c r="AH28" s="20">
        <v>3.5000000000000003E-2</v>
      </c>
      <c r="AI28" s="20">
        <v>7.0000000000000007E-2</v>
      </c>
      <c r="AJ28" s="20">
        <v>0.2</v>
      </c>
      <c r="AK28" s="20">
        <v>1.0000000000000001E-7</v>
      </c>
      <c r="AL28" s="20">
        <v>0.6</v>
      </c>
      <c r="AM28" s="20">
        <v>0.2</v>
      </c>
      <c r="AN28" s="20">
        <v>10</v>
      </c>
      <c r="AO28" s="20">
        <v>50</v>
      </c>
      <c r="AP28" s="20">
        <v>10</v>
      </c>
      <c r="AQ28" s="20">
        <v>0.1</v>
      </c>
      <c r="AR28" s="20">
        <v>8</v>
      </c>
      <c r="AS28" s="20">
        <v>9.9999999999999991E-6</v>
      </c>
    </row>
    <row r="29" spans="1:45" x14ac:dyDescent="0.25">
      <c r="A29" s="20" t="s">
        <v>306</v>
      </c>
      <c r="B29" s="20">
        <v>45</v>
      </c>
      <c r="C29" s="20" t="s">
        <v>363</v>
      </c>
      <c r="D29" s="20">
        <v>3.5999999999999999E-3</v>
      </c>
      <c r="E29" s="20">
        <v>-1</v>
      </c>
      <c r="F29" s="20">
        <v>-1</v>
      </c>
      <c r="G29" s="20">
        <v>0</v>
      </c>
      <c r="H29" s="20">
        <v>0</v>
      </c>
      <c r="I29" s="20">
        <v>0</v>
      </c>
      <c r="J29" s="20">
        <v>0</v>
      </c>
      <c r="K29" s="20">
        <v>5</v>
      </c>
      <c r="L29" s="20">
        <v>0</v>
      </c>
      <c r="M29" s="20">
        <v>0.5</v>
      </c>
      <c r="N29" s="20">
        <v>23</v>
      </c>
      <c r="O29" s="20">
        <v>400</v>
      </c>
      <c r="P29" s="20">
        <v>206000</v>
      </c>
      <c r="Q29" s="20">
        <v>0</v>
      </c>
      <c r="R29" s="20">
        <v>24.66</v>
      </c>
      <c r="S29" s="20">
        <v>37.36</v>
      </c>
      <c r="T29" s="20">
        <f t="shared" si="2"/>
        <v>37.980000000000004</v>
      </c>
      <c r="U29" s="20">
        <f t="shared" si="1"/>
        <v>1.44</v>
      </c>
      <c r="V29" s="20">
        <v>0.33</v>
      </c>
      <c r="W29" s="20">
        <v>0.18</v>
      </c>
      <c r="X29" s="20">
        <v>-1</v>
      </c>
      <c r="Y29" s="20">
        <v>-1</v>
      </c>
      <c r="Z29" s="20">
        <v>-1</v>
      </c>
      <c r="AA29" s="20">
        <v>-1</v>
      </c>
      <c r="AB29" s="20">
        <v>-1</v>
      </c>
      <c r="AC29" s="20">
        <v>-1</v>
      </c>
      <c r="AD29" s="20">
        <v>1.1499999999999999</v>
      </c>
      <c r="AE29" s="20">
        <v>1.1499999999999999</v>
      </c>
      <c r="AF29" s="20">
        <v>-1</v>
      </c>
      <c r="AG29" s="20">
        <v>6.9999999999999994E-5</v>
      </c>
      <c r="AH29" s="20">
        <v>3.5000000000000003E-2</v>
      </c>
      <c r="AI29" s="20">
        <v>7.0000000000000007E-2</v>
      </c>
      <c r="AJ29" s="20">
        <v>0.2</v>
      </c>
      <c r="AK29" s="20">
        <v>1.0000000000000001E-7</v>
      </c>
      <c r="AL29" s="20">
        <v>0.6</v>
      </c>
      <c r="AM29" s="20">
        <v>0.2</v>
      </c>
      <c r="AN29" s="20">
        <v>10</v>
      </c>
      <c r="AO29" s="20">
        <v>50</v>
      </c>
      <c r="AP29" s="20">
        <v>10</v>
      </c>
      <c r="AQ29" s="20">
        <v>0.1</v>
      </c>
      <c r="AR29" s="20">
        <v>8</v>
      </c>
      <c r="AS29" s="20">
        <v>9.9999999999999991E-6</v>
      </c>
    </row>
    <row r="30" spans="1:45" x14ac:dyDescent="0.25">
      <c r="A30" s="20" t="s">
        <v>309</v>
      </c>
      <c r="B30" s="20">
        <v>15</v>
      </c>
      <c r="C30" s="20" t="s">
        <v>363</v>
      </c>
      <c r="D30" s="20">
        <v>9.5999999999999992E-3</v>
      </c>
      <c r="E30" s="20">
        <v>-1</v>
      </c>
      <c r="F30" s="20">
        <v>-1</v>
      </c>
      <c r="G30" s="20">
        <v>0</v>
      </c>
      <c r="H30" s="20">
        <v>0</v>
      </c>
      <c r="I30" s="20">
        <v>0</v>
      </c>
      <c r="J30" s="20">
        <v>0</v>
      </c>
      <c r="K30" s="20">
        <v>5</v>
      </c>
      <c r="L30" s="20">
        <v>0</v>
      </c>
      <c r="M30" s="20">
        <v>0.5</v>
      </c>
      <c r="N30" s="20">
        <v>23</v>
      </c>
      <c r="O30" s="20">
        <v>400</v>
      </c>
      <c r="P30" s="20">
        <v>206000</v>
      </c>
      <c r="Q30" s="20">
        <v>0</v>
      </c>
      <c r="R30" s="20">
        <v>19.64</v>
      </c>
      <c r="S30" s="20">
        <v>38.54</v>
      </c>
      <c r="T30" s="20">
        <f t="shared" si="2"/>
        <v>41.82</v>
      </c>
      <c r="U30" s="20">
        <f t="shared" si="1"/>
        <v>1.18</v>
      </c>
      <c r="V30" s="20">
        <v>0.33</v>
      </c>
      <c r="W30" s="20">
        <v>0.18</v>
      </c>
      <c r="X30" s="20">
        <v>-1</v>
      </c>
      <c r="Y30" s="20">
        <v>-1</v>
      </c>
      <c r="Z30" s="20">
        <v>-1</v>
      </c>
      <c r="AA30" s="20">
        <v>-1</v>
      </c>
      <c r="AB30" s="20">
        <v>-1</v>
      </c>
      <c r="AC30" s="20">
        <v>-1</v>
      </c>
      <c r="AD30" s="20">
        <v>1.1499999999999999</v>
      </c>
      <c r="AE30" s="20">
        <v>1.1499999999999999</v>
      </c>
      <c r="AF30" s="20">
        <v>-1</v>
      </c>
      <c r="AG30" s="20">
        <v>6.9999999999999994E-5</v>
      </c>
      <c r="AH30" s="20">
        <v>3.5000000000000003E-2</v>
      </c>
      <c r="AI30" s="20">
        <v>7.0000000000000007E-2</v>
      </c>
      <c r="AJ30" s="20">
        <v>0.2</v>
      </c>
      <c r="AK30" s="20">
        <v>1.0000000000000001E-7</v>
      </c>
      <c r="AL30" s="20">
        <v>0.6</v>
      </c>
      <c r="AM30" s="20">
        <v>0.2</v>
      </c>
      <c r="AN30" s="20">
        <v>10</v>
      </c>
      <c r="AO30" s="20">
        <v>50</v>
      </c>
      <c r="AP30" s="20">
        <v>10</v>
      </c>
      <c r="AQ30" s="20">
        <v>0.1</v>
      </c>
      <c r="AR30" s="20">
        <v>8</v>
      </c>
      <c r="AS30" s="20">
        <v>9.9999999999999991E-6</v>
      </c>
    </row>
    <row r="31" spans="1:45" x14ac:dyDescent="0.25">
      <c r="A31" s="20" t="s">
        <v>309</v>
      </c>
      <c r="B31" s="20">
        <v>30</v>
      </c>
      <c r="C31" s="20" t="s">
        <v>363</v>
      </c>
      <c r="D31" s="20">
        <v>6.0000000000000001E-3</v>
      </c>
      <c r="E31" s="20">
        <v>-1</v>
      </c>
      <c r="F31" s="20">
        <v>-1</v>
      </c>
      <c r="G31" s="20">
        <v>0</v>
      </c>
      <c r="H31" s="20">
        <v>0</v>
      </c>
      <c r="I31" s="20">
        <v>0</v>
      </c>
      <c r="J31" s="20">
        <v>0</v>
      </c>
      <c r="K31" s="20">
        <v>5</v>
      </c>
      <c r="L31" s="20">
        <v>0</v>
      </c>
      <c r="M31" s="20">
        <v>0.5</v>
      </c>
      <c r="N31" s="20">
        <v>23</v>
      </c>
      <c r="O31" s="20">
        <v>400</v>
      </c>
      <c r="P31" s="20">
        <v>206000</v>
      </c>
      <c r="Q31" s="20">
        <v>0</v>
      </c>
      <c r="R31" s="20">
        <v>24.66</v>
      </c>
      <c r="S31" s="20">
        <v>37.36</v>
      </c>
      <c r="T31" s="20">
        <f t="shared" si="2"/>
        <v>37.980000000000004</v>
      </c>
      <c r="U31" s="20">
        <f t="shared" si="1"/>
        <v>1.38</v>
      </c>
      <c r="V31" s="20">
        <v>0.33</v>
      </c>
      <c r="W31" s="20">
        <v>0.18</v>
      </c>
      <c r="X31" s="20">
        <v>-1</v>
      </c>
      <c r="Y31" s="20">
        <v>-1</v>
      </c>
      <c r="Z31" s="20">
        <v>-1</v>
      </c>
      <c r="AA31" s="20">
        <v>-1</v>
      </c>
      <c r="AB31" s="20">
        <v>-1</v>
      </c>
      <c r="AC31" s="20">
        <v>-1</v>
      </c>
      <c r="AD31" s="20">
        <v>1.1499999999999999</v>
      </c>
      <c r="AE31" s="20">
        <v>1.1499999999999999</v>
      </c>
      <c r="AF31" s="20">
        <v>-1</v>
      </c>
      <c r="AG31" s="20">
        <v>6.9999999999999994E-5</v>
      </c>
      <c r="AH31" s="20">
        <v>3.5000000000000003E-2</v>
      </c>
      <c r="AI31" s="20">
        <v>7.0000000000000007E-2</v>
      </c>
      <c r="AJ31" s="20">
        <v>0.2</v>
      </c>
      <c r="AK31" s="20">
        <v>1.0000000000000001E-7</v>
      </c>
      <c r="AL31" s="20">
        <v>0.6</v>
      </c>
      <c r="AM31" s="20">
        <v>0.2</v>
      </c>
      <c r="AN31" s="20">
        <v>10</v>
      </c>
      <c r="AO31" s="20">
        <v>50</v>
      </c>
      <c r="AP31" s="20">
        <v>10</v>
      </c>
      <c r="AQ31" s="20">
        <v>0.1</v>
      </c>
      <c r="AR31" s="20">
        <v>8</v>
      </c>
      <c r="AS31" s="20">
        <v>9.9999999999999991E-6</v>
      </c>
    </row>
    <row r="32" spans="1:45" x14ac:dyDescent="0.25">
      <c r="A32" s="20" t="s">
        <v>309</v>
      </c>
      <c r="B32" s="20">
        <v>45</v>
      </c>
      <c r="C32" s="20" t="s">
        <v>363</v>
      </c>
      <c r="D32" s="20">
        <v>3.96E-3</v>
      </c>
      <c r="E32" s="20">
        <v>-1</v>
      </c>
      <c r="F32" s="20">
        <v>-1</v>
      </c>
      <c r="G32" s="20">
        <v>0</v>
      </c>
      <c r="H32" s="20">
        <v>0</v>
      </c>
      <c r="I32" s="20">
        <v>0</v>
      </c>
      <c r="J32" s="20">
        <v>0</v>
      </c>
      <c r="K32" s="20">
        <v>5</v>
      </c>
      <c r="L32" s="20">
        <v>0</v>
      </c>
      <c r="M32" s="20">
        <v>0.5</v>
      </c>
      <c r="N32" s="20">
        <v>23</v>
      </c>
      <c r="O32" s="20">
        <v>400</v>
      </c>
      <c r="P32" s="20">
        <v>206000</v>
      </c>
      <c r="Q32" s="20">
        <v>0</v>
      </c>
      <c r="R32" s="20">
        <v>24.66</v>
      </c>
      <c r="S32" s="20">
        <v>37.36</v>
      </c>
      <c r="T32" s="20">
        <f t="shared" si="2"/>
        <v>37.980000000000004</v>
      </c>
      <c r="U32" s="20">
        <f t="shared" si="1"/>
        <v>1.44</v>
      </c>
      <c r="V32" s="20">
        <v>0.33</v>
      </c>
      <c r="W32" s="20">
        <v>0.18</v>
      </c>
      <c r="X32" s="20">
        <v>-1</v>
      </c>
      <c r="Y32" s="20">
        <v>-1</v>
      </c>
      <c r="Z32" s="20">
        <v>-1</v>
      </c>
      <c r="AA32" s="20">
        <v>-1</v>
      </c>
      <c r="AB32" s="20">
        <v>-1</v>
      </c>
      <c r="AC32" s="20">
        <v>-1</v>
      </c>
      <c r="AD32" s="20">
        <v>1.1499999999999999</v>
      </c>
      <c r="AE32" s="20">
        <v>1.1499999999999999</v>
      </c>
      <c r="AF32" s="20">
        <v>-1</v>
      </c>
      <c r="AG32" s="20">
        <v>6.9999999999999994E-5</v>
      </c>
      <c r="AH32" s="20">
        <v>3.5000000000000003E-2</v>
      </c>
      <c r="AI32" s="20">
        <v>7.0000000000000007E-2</v>
      </c>
      <c r="AJ32" s="20">
        <v>0.2</v>
      </c>
      <c r="AK32" s="20">
        <v>1.0000000000000001E-7</v>
      </c>
      <c r="AL32" s="20">
        <v>0.6</v>
      </c>
      <c r="AM32" s="20">
        <v>0.2</v>
      </c>
      <c r="AN32" s="20">
        <v>10</v>
      </c>
      <c r="AO32" s="20">
        <v>50</v>
      </c>
      <c r="AP32" s="20">
        <v>10</v>
      </c>
      <c r="AQ32" s="20">
        <v>0.1</v>
      </c>
      <c r="AR32" s="20">
        <v>8</v>
      </c>
      <c r="AS32" s="20">
        <v>9.9999999999999991E-6</v>
      </c>
    </row>
    <row r="33" spans="1:46" x14ac:dyDescent="0.25">
      <c r="A33" s="20" t="s">
        <v>312</v>
      </c>
      <c r="B33" s="20">
        <v>15</v>
      </c>
      <c r="C33" s="20" t="s">
        <v>363</v>
      </c>
      <c r="D33" s="20">
        <v>9.58E-3</v>
      </c>
      <c r="E33" s="20">
        <v>-1</v>
      </c>
      <c r="F33" s="20">
        <v>-1</v>
      </c>
      <c r="G33" s="20">
        <v>0</v>
      </c>
      <c r="H33" s="20">
        <v>0</v>
      </c>
      <c r="I33" s="20">
        <v>0</v>
      </c>
      <c r="J33" s="20">
        <v>0</v>
      </c>
      <c r="K33" s="20">
        <v>5</v>
      </c>
      <c r="L33" s="20">
        <v>0</v>
      </c>
      <c r="M33" s="20">
        <v>0.5</v>
      </c>
      <c r="N33" s="20">
        <v>23</v>
      </c>
      <c r="O33" s="20">
        <v>400</v>
      </c>
      <c r="P33" s="20">
        <v>206000</v>
      </c>
      <c r="Q33" s="20">
        <v>0</v>
      </c>
      <c r="R33" s="20">
        <v>19.64</v>
      </c>
      <c r="S33" s="20">
        <v>38.54</v>
      </c>
      <c r="T33" s="20">
        <f t="shared" si="2"/>
        <v>41.82</v>
      </c>
      <c r="U33" s="20">
        <f t="shared" si="1"/>
        <v>1.18</v>
      </c>
      <c r="V33" s="20">
        <v>0.33</v>
      </c>
      <c r="W33" s="20">
        <v>0.18</v>
      </c>
      <c r="X33" s="20">
        <v>-1</v>
      </c>
      <c r="Y33" s="20">
        <v>-1</v>
      </c>
      <c r="Z33" s="20">
        <v>-1</v>
      </c>
      <c r="AA33" s="20">
        <v>-1</v>
      </c>
      <c r="AB33" s="20">
        <v>-1</v>
      </c>
      <c r="AC33" s="20">
        <v>-1</v>
      </c>
      <c r="AD33" s="20">
        <v>1.1499999999999999</v>
      </c>
      <c r="AE33" s="20">
        <v>1.1499999999999999</v>
      </c>
      <c r="AF33" s="20">
        <v>-1</v>
      </c>
      <c r="AG33" s="20">
        <v>6.9999999999999994E-5</v>
      </c>
      <c r="AH33" s="20">
        <v>3.5000000000000003E-2</v>
      </c>
      <c r="AI33" s="20">
        <v>7.0000000000000007E-2</v>
      </c>
      <c r="AJ33" s="20">
        <v>0.2</v>
      </c>
      <c r="AK33" s="20">
        <v>1.0000000000000001E-7</v>
      </c>
      <c r="AL33" s="20">
        <v>0.6</v>
      </c>
      <c r="AM33" s="20">
        <v>0.2</v>
      </c>
      <c r="AN33" s="20">
        <v>10</v>
      </c>
      <c r="AO33" s="20">
        <v>50</v>
      </c>
      <c r="AP33" s="20">
        <v>10</v>
      </c>
      <c r="AQ33" s="20">
        <v>0.1</v>
      </c>
      <c r="AR33" s="20">
        <v>8</v>
      </c>
      <c r="AS33" s="20">
        <v>9.9999999999999991E-6</v>
      </c>
    </row>
    <row r="34" spans="1:46" x14ac:dyDescent="0.25">
      <c r="A34" s="20" t="s">
        <v>312</v>
      </c>
      <c r="B34" s="20">
        <v>30</v>
      </c>
      <c r="C34" s="20" t="s">
        <v>363</v>
      </c>
      <c r="D34" s="20">
        <v>6.1599999999999997E-3</v>
      </c>
      <c r="E34" s="20">
        <v>-1</v>
      </c>
      <c r="F34" s="20">
        <v>-1</v>
      </c>
      <c r="G34" s="20">
        <v>0</v>
      </c>
      <c r="H34" s="20">
        <v>0</v>
      </c>
      <c r="I34" s="20">
        <v>0</v>
      </c>
      <c r="J34" s="20">
        <v>0</v>
      </c>
      <c r="K34" s="20">
        <v>5</v>
      </c>
      <c r="L34" s="20">
        <v>0</v>
      </c>
      <c r="M34" s="20">
        <v>0.5</v>
      </c>
      <c r="N34" s="20">
        <v>23</v>
      </c>
      <c r="O34" s="20">
        <v>400</v>
      </c>
      <c r="P34" s="20">
        <v>206000</v>
      </c>
      <c r="Q34" s="20">
        <v>0</v>
      </c>
      <c r="R34" s="20">
        <v>24.66</v>
      </c>
      <c r="S34" s="20">
        <v>37.36</v>
      </c>
      <c r="T34" s="20">
        <f t="shared" si="2"/>
        <v>37.980000000000004</v>
      </c>
      <c r="U34" s="20">
        <f t="shared" si="1"/>
        <v>1.38</v>
      </c>
      <c r="V34" s="20">
        <v>0.33</v>
      </c>
      <c r="W34" s="20">
        <v>0.18</v>
      </c>
      <c r="X34" s="20">
        <v>-1</v>
      </c>
      <c r="Y34" s="20">
        <v>-1</v>
      </c>
      <c r="Z34" s="20">
        <v>-1</v>
      </c>
      <c r="AA34" s="20">
        <v>-1</v>
      </c>
      <c r="AB34" s="20">
        <v>-1</v>
      </c>
      <c r="AC34" s="20">
        <v>-1</v>
      </c>
      <c r="AD34" s="20">
        <v>1.1499999999999999</v>
      </c>
      <c r="AE34" s="20">
        <v>1.1499999999999999</v>
      </c>
      <c r="AF34" s="20">
        <v>-1</v>
      </c>
      <c r="AG34" s="20">
        <v>6.9999999999999994E-5</v>
      </c>
      <c r="AH34" s="20">
        <v>3.5000000000000003E-2</v>
      </c>
      <c r="AI34" s="20">
        <v>7.0000000000000007E-2</v>
      </c>
      <c r="AJ34" s="20">
        <v>0.2</v>
      </c>
      <c r="AK34" s="20">
        <v>1.0000000000000001E-7</v>
      </c>
      <c r="AL34" s="20">
        <v>0.6</v>
      </c>
      <c r="AM34" s="20">
        <v>0.2</v>
      </c>
      <c r="AN34" s="20">
        <v>10</v>
      </c>
      <c r="AO34" s="20">
        <v>50</v>
      </c>
      <c r="AP34" s="20">
        <v>10</v>
      </c>
      <c r="AQ34" s="20">
        <v>0.1</v>
      </c>
      <c r="AR34" s="20">
        <v>8</v>
      </c>
      <c r="AS34" s="20">
        <v>9.9999999999999991E-6</v>
      </c>
    </row>
    <row r="35" spans="1:46" x14ac:dyDescent="0.25">
      <c r="A35" s="20" t="s">
        <v>312</v>
      </c>
      <c r="B35" s="20">
        <v>45</v>
      </c>
      <c r="C35" s="20" t="s">
        <v>363</v>
      </c>
      <c r="D35" s="20">
        <v>3.3500000000000001E-3</v>
      </c>
      <c r="E35" s="20">
        <v>-1</v>
      </c>
      <c r="F35" s="20">
        <v>-1</v>
      </c>
      <c r="G35" s="20">
        <v>0</v>
      </c>
      <c r="H35" s="20">
        <v>0</v>
      </c>
      <c r="I35" s="20">
        <v>0</v>
      </c>
      <c r="J35" s="20">
        <v>0</v>
      </c>
      <c r="K35" s="20">
        <v>5</v>
      </c>
      <c r="L35" s="20">
        <v>0</v>
      </c>
      <c r="M35" s="20">
        <v>0.5</v>
      </c>
      <c r="N35" s="20">
        <v>23</v>
      </c>
      <c r="O35" s="20">
        <v>400</v>
      </c>
      <c r="P35" s="20">
        <v>206000</v>
      </c>
      <c r="Q35" s="20">
        <v>0</v>
      </c>
      <c r="R35" s="20">
        <v>24.66</v>
      </c>
      <c r="S35" s="20">
        <v>37.36</v>
      </c>
      <c r="T35" s="20">
        <f t="shared" si="2"/>
        <v>37.980000000000004</v>
      </c>
      <c r="U35" s="20">
        <f t="shared" si="1"/>
        <v>1.44</v>
      </c>
      <c r="V35" s="20">
        <v>0.33</v>
      </c>
      <c r="W35" s="20">
        <v>0.18</v>
      </c>
      <c r="X35" s="20">
        <v>-1</v>
      </c>
      <c r="Y35" s="20">
        <v>-1</v>
      </c>
      <c r="Z35" s="20">
        <v>-1</v>
      </c>
      <c r="AA35" s="20">
        <v>-1</v>
      </c>
      <c r="AB35" s="20">
        <v>-1</v>
      </c>
      <c r="AC35" s="20">
        <v>-1</v>
      </c>
      <c r="AD35" s="20">
        <v>1.1499999999999999</v>
      </c>
      <c r="AE35" s="20">
        <v>1.1499999999999999</v>
      </c>
      <c r="AF35" s="20">
        <v>-1</v>
      </c>
      <c r="AG35" s="20">
        <v>6.9999999999999994E-5</v>
      </c>
      <c r="AH35" s="20">
        <v>3.5000000000000003E-2</v>
      </c>
      <c r="AI35" s="20">
        <v>7.0000000000000007E-2</v>
      </c>
      <c r="AJ35" s="20">
        <v>0.2</v>
      </c>
      <c r="AK35" s="20">
        <v>1.0000000000000001E-7</v>
      </c>
      <c r="AL35" s="20">
        <v>0.6</v>
      </c>
      <c r="AM35" s="20">
        <v>0.2</v>
      </c>
      <c r="AN35" s="20">
        <v>10</v>
      </c>
      <c r="AO35" s="20">
        <v>50</v>
      </c>
      <c r="AP35" s="20">
        <v>10</v>
      </c>
      <c r="AQ35" s="20">
        <v>0.1</v>
      </c>
      <c r="AR35" s="20">
        <v>8</v>
      </c>
      <c r="AS35" s="20">
        <v>9.9999999999999991E-6</v>
      </c>
    </row>
    <row r="36" spans="1:46" x14ac:dyDescent="0.25">
      <c r="A36" s="20" t="s">
        <v>315</v>
      </c>
      <c r="B36" s="20">
        <v>15</v>
      </c>
      <c r="C36" s="20" t="s">
        <v>363</v>
      </c>
      <c r="D36" s="20">
        <v>9.8600000000000007E-3</v>
      </c>
      <c r="E36" s="20">
        <v>-1</v>
      </c>
      <c r="F36" s="20">
        <v>-1</v>
      </c>
      <c r="G36" s="20">
        <v>0</v>
      </c>
      <c r="H36" s="20">
        <v>0</v>
      </c>
      <c r="I36" s="20">
        <v>0</v>
      </c>
      <c r="J36" s="20">
        <v>0</v>
      </c>
      <c r="K36" s="20">
        <v>5</v>
      </c>
      <c r="L36" s="20">
        <v>0</v>
      </c>
      <c r="M36" s="20">
        <v>0.5</v>
      </c>
      <c r="N36" s="20">
        <v>23</v>
      </c>
      <c r="O36" s="20">
        <v>400</v>
      </c>
      <c r="P36" s="20">
        <v>206000</v>
      </c>
      <c r="Q36" s="20">
        <v>0</v>
      </c>
      <c r="R36" s="20">
        <v>19.64</v>
      </c>
      <c r="S36" s="20">
        <v>38.54</v>
      </c>
      <c r="T36" s="20">
        <f t="shared" si="2"/>
        <v>41.82</v>
      </c>
      <c r="U36" s="20">
        <f t="shared" si="1"/>
        <v>1.18</v>
      </c>
      <c r="V36" s="20">
        <v>0.33</v>
      </c>
      <c r="W36" s="20">
        <v>0.18</v>
      </c>
      <c r="X36" s="20">
        <v>-1</v>
      </c>
      <c r="Y36" s="20">
        <v>-1</v>
      </c>
      <c r="Z36" s="20">
        <v>-1</v>
      </c>
      <c r="AA36" s="20">
        <v>-1</v>
      </c>
      <c r="AB36" s="20">
        <v>-1</v>
      </c>
      <c r="AC36" s="20">
        <v>-1</v>
      </c>
      <c r="AD36" s="20">
        <v>1.1499999999999999</v>
      </c>
      <c r="AE36" s="20">
        <v>1.1499999999999999</v>
      </c>
      <c r="AF36" s="20">
        <v>-1</v>
      </c>
      <c r="AG36" s="20">
        <v>6.9999999999999994E-5</v>
      </c>
      <c r="AH36" s="20">
        <v>3.5000000000000003E-2</v>
      </c>
      <c r="AI36" s="20">
        <v>7.0000000000000007E-2</v>
      </c>
      <c r="AJ36" s="20">
        <v>0.2</v>
      </c>
      <c r="AK36" s="20">
        <v>1.0000000000000001E-7</v>
      </c>
      <c r="AL36" s="20">
        <v>0.6</v>
      </c>
      <c r="AM36" s="20">
        <v>0.2</v>
      </c>
      <c r="AN36" s="20">
        <v>10</v>
      </c>
      <c r="AO36" s="20">
        <v>50</v>
      </c>
      <c r="AP36" s="20">
        <v>10</v>
      </c>
      <c r="AQ36" s="20">
        <v>0.1</v>
      </c>
      <c r="AR36" s="20">
        <v>8</v>
      </c>
      <c r="AS36" s="20">
        <v>9.9999999999999991E-6</v>
      </c>
    </row>
    <row r="37" spans="1:46" x14ac:dyDescent="0.25">
      <c r="A37" s="20" t="s">
        <v>315</v>
      </c>
      <c r="B37" s="20">
        <v>30</v>
      </c>
      <c r="C37" s="20" t="s">
        <v>363</v>
      </c>
      <c r="D37" s="20">
        <v>6.7600000000000004E-3</v>
      </c>
      <c r="E37" s="20">
        <v>-1</v>
      </c>
      <c r="F37" s="20">
        <v>-1</v>
      </c>
      <c r="G37" s="20">
        <v>0</v>
      </c>
      <c r="H37" s="20">
        <v>0</v>
      </c>
      <c r="I37" s="20">
        <v>0</v>
      </c>
      <c r="J37" s="20">
        <v>0</v>
      </c>
      <c r="K37" s="20">
        <v>5</v>
      </c>
      <c r="L37" s="20">
        <v>0</v>
      </c>
      <c r="M37" s="20">
        <v>0.5</v>
      </c>
      <c r="N37" s="20">
        <v>23</v>
      </c>
      <c r="O37" s="20">
        <v>400</v>
      </c>
      <c r="P37" s="20">
        <v>206000</v>
      </c>
      <c r="Q37" s="20">
        <v>0</v>
      </c>
      <c r="R37" s="20">
        <v>24.66</v>
      </c>
      <c r="S37" s="20">
        <v>37.36</v>
      </c>
      <c r="T37" s="20">
        <f t="shared" si="2"/>
        <v>37.980000000000004</v>
      </c>
      <c r="U37" s="20">
        <f t="shared" si="1"/>
        <v>1.38</v>
      </c>
      <c r="V37" s="20">
        <v>0.33</v>
      </c>
      <c r="W37" s="20">
        <v>0.18</v>
      </c>
      <c r="X37" s="20">
        <v>-1</v>
      </c>
      <c r="Y37" s="20">
        <v>-1</v>
      </c>
      <c r="Z37" s="20">
        <v>-1</v>
      </c>
      <c r="AA37" s="20">
        <v>-1</v>
      </c>
      <c r="AB37" s="20">
        <v>-1</v>
      </c>
      <c r="AC37" s="20">
        <v>-1</v>
      </c>
      <c r="AD37" s="20">
        <v>1.1499999999999999</v>
      </c>
      <c r="AE37" s="20">
        <v>1.1499999999999999</v>
      </c>
      <c r="AF37" s="20">
        <v>-1</v>
      </c>
      <c r="AG37" s="20">
        <v>6.9999999999999994E-5</v>
      </c>
      <c r="AH37" s="20">
        <v>3.5000000000000003E-2</v>
      </c>
      <c r="AI37" s="20">
        <v>7.0000000000000007E-2</v>
      </c>
      <c r="AJ37" s="20">
        <v>0.2</v>
      </c>
      <c r="AK37" s="20">
        <v>1.0000000000000001E-7</v>
      </c>
      <c r="AL37" s="20">
        <v>0.6</v>
      </c>
      <c r="AM37" s="20">
        <v>0.2</v>
      </c>
      <c r="AN37" s="20">
        <v>10</v>
      </c>
      <c r="AO37" s="20">
        <v>50</v>
      </c>
      <c r="AP37" s="20">
        <v>10</v>
      </c>
      <c r="AQ37" s="20">
        <v>0.1</v>
      </c>
      <c r="AR37" s="20">
        <v>8</v>
      </c>
      <c r="AS37" s="20">
        <v>9.9999999999999991E-6</v>
      </c>
    </row>
    <row r="38" spans="1:46" x14ac:dyDescent="0.25">
      <c r="A38" s="20" t="s">
        <v>315</v>
      </c>
      <c r="B38" s="20">
        <v>45</v>
      </c>
      <c r="C38" s="20" t="s">
        <v>363</v>
      </c>
      <c r="D38" s="20">
        <v>4.2599999999999999E-3</v>
      </c>
      <c r="E38" s="20">
        <v>-1</v>
      </c>
      <c r="F38" s="20">
        <v>-1</v>
      </c>
      <c r="G38" s="20">
        <v>0</v>
      </c>
      <c r="H38" s="20">
        <v>0</v>
      </c>
      <c r="I38" s="20">
        <v>0</v>
      </c>
      <c r="J38" s="20">
        <v>0</v>
      </c>
      <c r="K38" s="20">
        <v>5</v>
      </c>
      <c r="L38" s="20">
        <v>0</v>
      </c>
      <c r="M38" s="20">
        <v>0.5</v>
      </c>
      <c r="N38" s="20">
        <v>23</v>
      </c>
      <c r="O38" s="20">
        <v>400</v>
      </c>
      <c r="P38" s="20">
        <v>206000</v>
      </c>
      <c r="Q38" s="20">
        <v>0</v>
      </c>
      <c r="R38" s="20">
        <v>24.66</v>
      </c>
      <c r="S38" s="20">
        <v>37.36</v>
      </c>
      <c r="T38" s="20">
        <f t="shared" si="2"/>
        <v>37.980000000000004</v>
      </c>
      <c r="U38" s="20">
        <f t="shared" si="1"/>
        <v>1.44</v>
      </c>
      <c r="V38" s="20">
        <v>0.33</v>
      </c>
      <c r="W38" s="20">
        <v>0.18</v>
      </c>
      <c r="X38" s="20">
        <v>-1</v>
      </c>
      <c r="Y38" s="20">
        <v>-1</v>
      </c>
      <c r="Z38" s="20">
        <v>-1</v>
      </c>
      <c r="AA38" s="20">
        <v>-1</v>
      </c>
      <c r="AB38" s="20">
        <v>-1</v>
      </c>
      <c r="AC38" s="20">
        <v>-1</v>
      </c>
      <c r="AD38" s="20">
        <v>1.1499999999999999</v>
      </c>
      <c r="AE38" s="20">
        <v>1.1499999999999999</v>
      </c>
      <c r="AF38" s="20">
        <v>-1</v>
      </c>
      <c r="AG38" s="20">
        <v>6.9999999999999994E-5</v>
      </c>
      <c r="AH38" s="20">
        <v>3.5000000000000003E-2</v>
      </c>
      <c r="AI38" s="20">
        <v>7.0000000000000007E-2</v>
      </c>
      <c r="AJ38" s="20">
        <v>0.2</v>
      </c>
      <c r="AK38" s="20">
        <v>1.0000000000000001E-7</v>
      </c>
      <c r="AL38" s="20">
        <v>0.6</v>
      </c>
      <c r="AM38" s="20">
        <v>0.2</v>
      </c>
      <c r="AN38" s="20">
        <v>10</v>
      </c>
      <c r="AO38" s="20">
        <v>50</v>
      </c>
      <c r="AP38" s="20">
        <v>10</v>
      </c>
      <c r="AQ38" s="20">
        <v>0.1</v>
      </c>
      <c r="AR38" s="20">
        <v>8</v>
      </c>
      <c r="AS38" s="20">
        <v>9.9999999999999991E-6</v>
      </c>
    </row>
    <row r="39" spans="1:46" x14ac:dyDescent="0.25">
      <c r="A39" s="20" t="s">
        <v>318</v>
      </c>
      <c r="B39" s="20">
        <v>15</v>
      </c>
      <c r="C39" s="20" t="s">
        <v>363</v>
      </c>
      <c r="D39" s="20">
        <v>9.8799999999999999E-3</v>
      </c>
      <c r="E39" s="20">
        <v>-1</v>
      </c>
      <c r="F39" s="20">
        <v>-1</v>
      </c>
      <c r="G39" s="20">
        <v>0</v>
      </c>
      <c r="H39" s="20">
        <v>0</v>
      </c>
      <c r="I39" s="20">
        <v>0</v>
      </c>
      <c r="J39" s="20">
        <v>0</v>
      </c>
      <c r="K39" s="20">
        <v>5</v>
      </c>
      <c r="L39" s="20">
        <v>0</v>
      </c>
      <c r="M39" s="20">
        <v>0.5</v>
      </c>
      <c r="N39" s="20">
        <v>23</v>
      </c>
      <c r="O39" s="20">
        <v>400</v>
      </c>
      <c r="P39" s="20">
        <v>206000</v>
      </c>
      <c r="Q39" s="20">
        <v>0</v>
      </c>
      <c r="R39" s="20">
        <v>19.64</v>
      </c>
      <c r="S39" s="20">
        <v>38.54</v>
      </c>
      <c r="T39" s="20">
        <f t="shared" si="2"/>
        <v>41.82</v>
      </c>
      <c r="U39" s="20">
        <f t="shared" si="1"/>
        <v>1.18</v>
      </c>
      <c r="V39" s="20">
        <v>0.33</v>
      </c>
      <c r="W39" s="20">
        <v>0.18</v>
      </c>
      <c r="X39" s="20">
        <v>-1</v>
      </c>
      <c r="Y39" s="20">
        <v>-1</v>
      </c>
      <c r="Z39" s="20">
        <v>-1</v>
      </c>
      <c r="AA39" s="20">
        <v>-1</v>
      </c>
      <c r="AB39" s="20">
        <v>-1</v>
      </c>
      <c r="AC39" s="20">
        <v>-1</v>
      </c>
      <c r="AD39" s="20">
        <v>1.1499999999999999</v>
      </c>
      <c r="AE39" s="20">
        <v>1.1499999999999999</v>
      </c>
      <c r="AF39" s="20">
        <v>-1</v>
      </c>
      <c r="AG39" s="20">
        <v>6.9999999999999994E-5</v>
      </c>
      <c r="AH39" s="20">
        <v>3.5000000000000003E-2</v>
      </c>
      <c r="AI39" s="20">
        <v>7.0000000000000007E-2</v>
      </c>
      <c r="AJ39" s="20">
        <v>0.2</v>
      </c>
      <c r="AK39" s="20">
        <v>1.0000000000000001E-7</v>
      </c>
      <c r="AL39" s="20">
        <v>0.6</v>
      </c>
      <c r="AM39" s="20">
        <v>0.2</v>
      </c>
      <c r="AN39" s="20">
        <v>10</v>
      </c>
      <c r="AO39" s="20">
        <v>50</v>
      </c>
      <c r="AP39" s="20">
        <v>10</v>
      </c>
      <c r="AQ39" s="20">
        <v>0.1</v>
      </c>
      <c r="AR39" s="20">
        <v>8</v>
      </c>
      <c r="AS39" s="20">
        <v>9.9999999999999991E-6</v>
      </c>
    </row>
    <row r="40" spans="1:46" x14ac:dyDescent="0.25">
      <c r="A40" s="20" t="s">
        <v>318</v>
      </c>
      <c r="B40" s="20">
        <v>30</v>
      </c>
      <c r="C40" s="20" t="s">
        <v>363</v>
      </c>
      <c r="D40" s="20">
        <v>6.8599999999999998E-3</v>
      </c>
      <c r="E40" s="20">
        <v>-1</v>
      </c>
      <c r="F40" s="20">
        <v>-1</v>
      </c>
      <c r="G40" s="20">
        <v>0</v>
      </c>
      <c r="H40" s="20">
        <v>0</v>
      </c>
      <c r="I40" s="20">
        <v>0</v>
      </c>
      <c r="J40" s="20">
        <v>0</v>
      </c>
      <c r="K40" s="20">
        <v>5</v>
      </c>
      <c r="L40" s="20">
        <v>0</v>
      </c>
      <c r="M40" s="20">
        <v>0.5</v>
      </c>
      <c r="N40" s="20">
        <v>23</v>
      </c>
      <c r="O40" s="20">
        <v>400</v>
      </c>
      <c r="P40" s="20">
        <v>206000</v>
      </c>
      <c r="Q40" s="20">
        <v>0</v>
      </c>
      <c r="R40" s="20">
        <v>24.66</v>
      </c>
      <c r="S40" s="20">
        <v>37.36</v>
      </c>
      <c r="T40" s="20">
        <f t="shared" si="2"/>
        <v>37.980000000000004</v>
      </c>
      <c r="U40" s="20">
        <f t="shared" si="1"/>
        <v>1.38</v>
      </c>
      <c r="V40" s="20">
        <v>0.33</v>
      </c>
      <c r="W40" s="20">
        <v>0.18</v>
      </c>
      <c r="X40" s="20">
        <v>-1</v>
      </c>
      <c r="Y40" s="20">
        <v>-1</v>
      </c>
      <c r="Z40" s="20">
        <v>-1</v>
      </c>
      <c r="AA40" s="20">
        <v>-1</v>
      </c>
      <c r="AB40" s="20">
        <v>-1</v>
      </c>
      <c r="AC40" s="20">
        <v>-1</v>
      </c>
      <c r="AD40" s="20">
        <v>1.1499999999999999</v>
      </c>
      <c r="AE40" s="20">
        <v>1.1499999999999999</v>
      </c>
      <c r="AF40" s="20">
        <v>-1</v>
      </c>
      <c r="AG40" s="20">
        <v>6.9999999999999994E-5</v>
      </c>
      <c r="AH40" s="20">
        <v>3.5000000000000003E-2</v>
      </c>
      <c r="AI40" s="20">
        <v>7.0000000000000007E-2</v>
      </c>
      <c r="AJ40" s="20">
        <v>0.2</v>
      </c>
      <c r="AK40" s="20">
        <v>1.0000000000000001E-7</v>
      </c>
      <c r="AL40" s="20">
        <v>0.6</v>
      </c>
      <c r="AM40" s="20">
        <v>0.2</v>
      </c>
      <c r="AN40" s="20">
        <v>10</v>
      </c>
      <c r="AO40" s="20">
        <v>50</v>
      </c>
      <c r="AP40" s="20">
        <v>10</v>
      </c>
      <c r="AQ40" s="20">
        <v>0.1</v>
      </c>
      <c r="AR40" s="20">
        <v>8</v>
      </c>
      <c r="AS40" s="20">
        <v>9.9999999999999991E-6</v>
      </c>
    </row>
    <row r="41" spans="1:46" x14ac:dyDescent="0.25">
      <c r="A41" s="20" t="s">
        <v>318</v>
      </c>
      <c r="B41" s="20">
        <v>45</v>
      </c>
      <c r="C41" s="20" t="s">
        <v>363</v>
      </c>
      <c r="D41" s="20">
        <v>4.3600000000000002E-3</v>
      </c>
      <c r="E41" s="20">
        <v>-1</v>
      </c>
      <c r="F41" s="20">
        <v>-1</v>
      </c>
      <c r="G41" s="20">
        <v>0</v>
      </c>
      <c r="H41" s="20">
        <v>0</v>
      </c>
      <c r="I41" s="20">
        <v>0</v>
      </c>
      <c r="J41" s="20">
        <v>0</v>
      </c>
      <c r="K41" s="20">
        <v>5</v>
      </c>
      <c r="L41" s="20">
        <v>0</v>
      </c>
      <c r="M41" s="20">
        <v>0.5</v>
      </c>
      <c r="N41" s="20">
        <v>23</v>
      </c>
      <c r="O41" s="20">
        <v>400</v>
      </c>
      <c r="P41" s="20">
        <v>206000</v>
      </c>
      <c r="Q41" s="20">
        <v>0</v>
      </c>
      <c r="R41" s="20">
        <v>24.66</v>
      </c>
      <c r="S41" s="20">
        <v>37.36</v>
      </c>
      <c r="T41" s="20">
        <f t="shared" si="2"/>
        <v>37.980000000000004</v>
      </c>
      <c r="U41" s="20">
        <f t="shared" si="1"/>
        <v>1.44</v>
      </c>
      <c r="V41" s="20">
        <v>0.33</v>
      </c>
      <c r="W41" s="20">
        <v>0.18</v>
      </c>
      <c r="X41" s="20">
        <v>-1</v>
      </c>
      <c r="Y41" s="20">
        <v>-1</v>
      </c>
      <c r="Z41" s="20">
        <v>-1</v>
      </c>
      <c r="AA41" s="20">
        <v>-1</v>
      </c>
      <c r="AB41" s="20">
        <v>-1</v>
      </c>
      <c r="AC41" s="20">
        <v>-1</v>
      </c>
      <c r="AD41" s="20">
        <v>1.1499999999999999</v>
      </c>
      <c r="AE41" s="20">
        <v>1.1499999999999999</v>
      </c>
      <c r="AF41" s="20">
        <v>-1</v>
      </c>
      <c r="AG41" s="20">
        <v>6.9999999999999994E-5</v>
      </c>
      <c r="AH41" s="20">
        <v>3.5000000000000003E-2</v>
      </c>
      <c r="AI41" s="20">
        <v>7.0000000000000007E-2</v>
      </c>
      <c r="AJ41" s="20">
        <v>0.2</v>
      </c>
      <c r="AK41" s="20">
        <v>1.0000000000000001E-7</v>
      </c>
      <c r="AL41" s="20">
        <v>0.6</v>
      </c>
      <c r="AM41" s="20">
        <v>0.2</v>
      </c>
      <c r="AN41" s="20">
        <v>10</v>
      </c>
      <c r="AO41" s="20">
        <v>50</v>
      </c>
      <c r="AP41" s="20">
        <v>10</v>
      </c>
      <c r="AQ41" s="20">
        <v>0.1</v>
      </c>
      <c r="AR41" s="20">
        <v>8</v>
      </c>
      <c r="AS41" s="20">
        <v>9.9999999999999991E-6</v>
      </c>
    </row>
    <row r="42" spans="1:46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</row>
    <row r="43" spans="1:46" x14ac:dyDescent="0.25">
      <c r="A43" s="20" t="s">
        <v>347</v>
      </c>
      <c r="B43" s="20">
        <v>15</v>
      </c>
      <c r="C43" s="20" t="s">
        <v>363</v>
      </c>
      <c r="D43" s="20">
        <v>9.2599999999999991E-3</v>
      </c>
      <c r="E43" s="20">
        <v>-1</v>
      </c>
      <c r="F43" s="20">
        <v>-1</v>
      </c>
      <c r="G43" s="20">
        <v>0</v>
      </c>
      <c r="H43" s="20">
        <v>0</v>
      </c>
      <c r="I43" s="20">
        <v>0</v>
      </c>
      <c r="J43" s="20">
        <v>0</v>
      </c>
      <c r="K43" s="20">
        <v>5</v>
      </c>
      <c r="L43" s="20">
        <v>0</v>
      </c>
      <c r="M43" s="20">
        <v>0.5</v>
      </c>
      <c r="N43" s="20">
        <v>23</v>
      </c>
      <c r="O43" s="20">
        <v>400</v>
      </c>
      <c r="P43" s="20">
        <v>206000</v>
      </c>
      <c r="Q43" s="20">
        <v>0</v>
      </c>
      <c r="R43" s="20">
        <v>19.64</v>
      </c>
      <c r="S43" s="20">
        <v>38.54</v>
      </c>
      <c r="T43" s="20">
        <f>100-R43-S43</f>
        <v>41.82</v>
      </c>
      <c r="U43" s="20">
        <v>1.18</v>
      </c>
      <c r="V43" s="20">
        <v>0.34</v>
      </c>
      <c r="W43" s="20">
        <v>0.18</v>
      </c>
      <c r="X43" s="20">
        <v>-1</v>
      </c>
      <c r="Y43" s="20">
        <v>-1</v>
      </c>
      <c r="Z43" s="20">
        <v>-1</v>
      </c>
      <c r="AA43" s="20">
        <v>-1</v>
      </c>
      <c r="AB43" s="20">
        <v>-1</v>
      </c>
      <c r="AC43" s="20">
        <v>-1</v>
      </c>
      <c r="AD43" s="20">
        <v>16.13</v>
      </c>
      <c r="AE43" s="20">
        <v>16.13</v>
      </c>
      <c r="AF43" s="20">
        <v>-1</v>
      </c>
      <c r="AG43" s="20">
        <v>6.9999999999999994E-5</v>
      </c>
      <c r="AH43" s="20">
        <v>3.5000000000000003E-2</v>
      </c>
      <c r="AI43" s="20">
        <v>7.0000000000000007E-2</v>
      </c>
      <c r="AJ43" s="20">
        <v>0.2</v>
      </c>
      <c r="AK43" s="20">
        <v>1.0000000000000001E-7</v>
      </c>
      <c r="AL43" s="20">
        <v>0.6</v>
      </c>
      <c r="AM43" s="20">
        <v>0.2</v>
      </c>
      <c r="AN43" s="20">
        <v>10</v>
      </c>
      <c r="AO43" s="20">
        <v>50</v>
      </c>
      <c r="AP43" s="20">
        <v>10</v>
      </c>
      <c r="AQ43" s="20">
        <v>0.1</v>
      </c>
      <c r="AR43" s="20">
        <v>8</v>
      </c>
      <c r="AS43" s="20">
        <v>9.9999999999999991E-6</v>
      </c>
      <c r="AT43">
        <v>0.55300000000000005</v>
      </c>
    </row>
    <row r="44" spans="1:46" x14ac:dyDescent="0.25">
      <c r="A44" s="20" t="s">
        <v>347</v>
      </c>
      <c r="B44" s="20">
        <v>30</v>
      </c>
      <c r="C44" s="20" t="s">
        <v>363</v>
      </c>
      <c r="D44" s="20">
        <v>5.5999999999999999E-3</v>
      </c>
      <c r="E44" s="20">
        <v>-1</v>
      </c>
      <c r="F44" s="20">
        <v>-1</v>
      </c>
      <c r="G44" s="20">
        <v>0</v>
      </c>
      <c r="H44" s="20">
        <v>0</v>
      </c>
      <c r="I44" s="20">
        <v>0</v>
      </c>
      <c r="J44" s="20">
        <v>0</v>
      </c>
      <c r="K44" s="20">
        <v>5</v>
      </c>
      <c r="L44" s="20">
        <v>0</v>
      </c>
      <c r="M44" s="20">
        <v>0.5</v>
      </c>
      <c r="N44" s="20">
        <v>23</v>
      </c>
      <c r="O44" s="20">
        <v>400</v>
      </c>
      <c r="P44" s="20">
        <v>206000</v>
      </c>
      <c r="Q44" s="20">
        <v>0</v>
      </c>
      <c r="R44" s="20">
        <v>24.66</v>
      </c>
      <c r="S44" s="20">
        <v>37.36</v>
      </c>
      <c r="T44" s="20">
        <f>100-R44-S44</f>
        <v>37.980000000000004</v>
      </c>
      <c r="U44" s="20">
        <v>1.38</v>
      </c>
      <c r="V44" s="20">
        <v>0.33</v>
      </c>
      <c r="W44" s="20">
        <v>0.18</v>
      </c>
      <c r="X44" s="20">
        <v>-1</v>
      </c>
      <c r="Y44" s="20">
        <v>-1</v>
      </c>
      <c r="Z44" s="20">
        <v>-1</v>
      </c>
      <c r="AA44" s="20">
        <v>-1</v>
      </c>
      <c r="AB44" s="20">
        <v>-1</v>
      </c>
      <c r="AC44" s="20">
        <v>-1</v>
      </c>
      <c r="AD44" s="20">
        <v>4.21</v>
      </c>
      <c r="AE44" s="20">
        <v>4.21</v>
      </c>
      <c r="AF44" s="20">
        <v>-1</v>
      </c>
      <c r="AG44" s="20">
        <v>6.9999999999999994E-5</v>
      </c>
      <c r="AH44" s="20">
        <v>3.5000000000000003E-2</v>
      </c>
      <c r="AI44" s="20">
        <v>7.0000000000000007E-2</v>
      </c>
      <c r="AJ44" s="20">
        <v>0.2</v>
      </c>
      <c r="AK44" s="20">
        <v>1.0000000000000001E-7</v>
      </c>
      <c r="AL44" s="20">
        <v>0.6</v>
      </c>
      <c r="AM44" s="20">
        <v>0.2</v>
      </c>
      <c r="AN44" s="20">
        <v>10</v>
      </c>
      <c r="AO44" s="20">
        <v>50</v>
      </c>
      <c r="AP44" s="20">
        <v>10</v>
      </c>
      <c r="AQ44" s="20">
        <v>0.1</v>
      </c>
      <c r="AR44" s="20">
        <v>8</v>
      </c>
      <c r="AS44" s="20">
        <v>9.9999999999999991E-6</v>
      </c>
      <c r="AT44">
        <v>0.52500000000000002</v>
      </c>
    </row>
    <row r="45" spans="1:46" x14ac:dyDescent="0.25">
      <c r="A45" s="20" t="s">
        <v>347</v>
      </c>
      <c r="B45" s="20">
        <v>45</v>
      </c>
      <c r="C45" s="20" t="s">
        <v>363</v>
      </c>
      <c r="D45" s="20">
        <v>3.2100000000000002E-3</v>
      </c>
      <c r="E45" s="20">
        <v>-1</v>
      </c>
      <c r="F45" s="20">
        <v>-1</v>
      </c>
      <c r="G45" s="20">
        <v>0</v>
      </c>
      <c r="H45" s="20">
        <v>0</v>
      </c>
      <c r="I45" s="20">
        <v>0</v>
      </c>
      <c r="J45" s="20">
        <v>0</v>
      </c>
      <c r="K45" s="20">
        <v>5</v>
      </c>
      <c r="L45" s="20">
        <v>0</v>
      </c>
      <c r="M45" s="20">
        <v>0.5</v>
      </c>
      <c r="N45" s="20">
        <v>23</v>
      </c>
      <c r="O45" s="20">
        <v>400</v>
      </c>
      <c r="P45" s="20">
        <v>206000</v>
      </c>
      <c r="Q45" s="20">
        <v>0</v>
      </c>
      <c r="R45" s="20">
        <v>24.66</v>
      </c>
      <c r="S45" s="20">
        <v>37.36</v>
      </c>
      <c r="T45" s="20">
        <f t="shared" ref="T45:T60" si="3">100-R45-S45</f>
        <v>37.980000000000004</v>
      </c>
      <c r="U45" s="20">
        <v>1.44</v>
      </c>
      <c r="V45" s="20">
        <v>0.33</v>
      </c>
      <c r="W45" s="20">
        <v>0.18</v>
      </c>
      <c r="X45" s="20">
        <v>-1</v>
      </c>
      <c r="Y45" s="20">
        <v>-1</v>
      </c>
      <c r="Z45" s="20">
        <v>-1</v>
      </c>
      <c r="AA45" s="20">
        <v>-1</v>
      </c>
      <c r="AB45" s="20">
        <v>-1</v>
      </c>
      <c r="AC45" s="20">
        <v>-1</v>
      </c>
      <c r="AD45" s="20">
        <v>1.1499999999999999</v>
      </c>
      <c r="AE45" s="20">
        <v>1.1499999999999999</v>
      </c>
      <c r="AF45" s="20">
        <v>-1</v>
      </c>
      <c r="AG45" s="20">
        <v>6.9999999999999994E-5</v>
      </c>
      <c r="AH45" s="20">
        <v>3.5000000000000003E-2</v>
      </c>
      <c r="AI45" s="20">
        <v>7.0000000000000007E-2</v>
      </c>
      <c r="AJ45" s="20">
        <v>0.2</v>
      </c>
      <c r="AK45" s="20">
        <v>1.0000000000000001E-7</v>
      </c>
      <c r="AL45" s="20">
        <v>0.6</v>
      </c>
      <c r="AM45" s="20">
        <v>0.2</v>
      </c>
      <c r="AN45" s="20">
        <v>10</v>
      </c>
      <c r="AO45" s="20">
        <v>50</v>
      </c>
      <c r="AP45" s="20">
        <v>10</v>
      </c>
      <c r="AQ45" s="20">
        <v>0.1</v>
      </c>
      <c r="AR45" s="20">
        <v>8</v>
      </c>
      <c r="AS45" s="20">
        <v>9.9999999999999991E-6</v>
      </c>
      <c r="AT45">
        <v>0.45800000000000002</v>
      </c>
    </row>
    <row r="46" spans="1:46" x14ac:dyDescent="0.25">
      <c r="A46" s="20" t="s">
        <v>350</v>
      </c>
      <c r="B46" s="20">
        <v>15</v>
      </c>
      <c r="C46" s="20" t="s">
        <v>363</v>
      </c>
      <c r="D46" s="20">
        <v>8.6E-3</v>
      </c>
      <c r="E46" s="20">
        <v>-1</v>
      </c>
      <c r="F46" s="20">
        <v>-1</v>
      </c>
      <c r="G46" s="20">
        <v>0</v>
      </c>
      <c r="H46" s="20">
        <v>0</v>
      </c>
      <c r="I46" s="20">
        <v>0</v>
      </c>
      <c r="J46" s="20">
        <v>0</v>
      </c>
      <c r="K46" s="20">
        <v>5</v>
      </c>
      <c r="L46" s="20">
        <v>0</v>
      </c>
      <c r="M46" s="20">
        <v>0.5</v>
      </c>
      <c r="N46" s="20">
        <v>23</v>
      </c>
      <c r="O46" s="20">
        <v>400</v>
      </c>
      <c r="P46" s="20">
        <v>206000</v>
      </c>
      <c r="Q46" s="20">
        <v>0</v>
      </c>
      <c r="R46" s="20">
        <v>19.64</v>
      </c>
      <c r="S46" s="20">
        <v>38.54</v>
      </c>
      <c r="T46" s="20">
        <f t="shared" si="3"/>
        <v>41.82</v>
      </c>
      <c r="U46" s="20">
        <v>1.18</v>
      </c>
      <c r="V46" s="20">
        <v>0.34</v>
      </c>
      <c r="W46" s="20">
        <v>0.18</v>
      </c>
      <c r="X46" s="20">
        <v>-1</v>
      </c>
      <c r="Y46" s="20">
        <v>-1</v>
      </c>
      <c r="Z46" s="20">
        <v>-1</v>
      </c>
      <c r="AA46" s="20">
        <v>-1</v>
      </c>
      <c r="AB46" s="20">
        <v>-1</v>
      </c>
      <c r="AC46" s="20">
        <v>-1</v>
      </c>
      <c r="AD46" s="20">
        <v>16.13</v>
      </c>
      <c r="AE46" s="20">
        <v>16.13</v>
      </c>
      <c r="AF46" s="20">
        <v>-1</v>
      </c>
      <c r="AG46" s="20">
        <v>6.9999999999999994E-5</v>
      </c>
      <c r="AH46" s="20">
        <v>3.5000000000000003E-2</v>
      </c>
      <c r="AI46" s="20">
        <v>7.0000000000000007E-2</v>
      </c>
      <c r="AJ46" s="20">
        <v>0.2</v>
      </c>
      <c r="AK46" s="20">
        <v>1.0000000000000001E-7</v>
      </c>
      <c r="AL46" s="20">
        <v>0.6</v>
      </c>
      <c r="AM46" s="20">
        <v>0.2</v>
      </c>
      <c r="AN46" s="20">
        <v>10</v>
      </c>
      <c r="AO46" s="20">
        <v>50</v>
      </c>
      <c r="AP46" s="20">
        <v>10</v>
      </c>
      <c r="AQ46" s="20">
        <v>0.1</v>
      </c>
      <c r="AR46" s="20">
        <v>8</v>
      </c>
      <c r="AS46" s="20">
        <v>9.9999999999999991E-6</v>
      </c>
      <c r="AT46">
        <v>0.55300000000000005</v>
      </c>
    </row>
    <row r="47" spans="1:46" x14ac:dyDescent="0.25">
      <c r="A47" s="20" t="s">
        <v>350</v>
      </c>
      <c r="B47" s="20">
        <v>30</v>
      </c>
      <c r="C47" s="20" t="s">
        <v>363</v>
      </c>
      <c r="D47" s="20">
        <v>6.6E-3</v>
      </c>
      <c r="E47" s="20">
        <v>-1</v>
      </c>
      <c r="F47" s="20">
        <v>-1</v>
      </c>
      <c r="G47" s="20">
        <v>0</v>
      </c>
      <c r="H47" s="20">
        <v>0</v>
      </c>
      <c r="I47" s="20">
        <v>0</v>
      </c>
      <c r="J47" s="20">
        <v>0</v>
      </c>
      <c r="K47" s="20">
        <v>5</v>
      </c>
      <c r="L47" s="20">
        <v>0</v>
      </c>
      <c r="M47" s="20">
        <v>0.5</v>
      </c>
      <c r="N47" s="20">
        <v>23</v>
      </c>
      <c r="O47" s="20">
        <v>400</v>
      </c>
      <c r="P47" s="20">
        <v>206000</v>
      </c>
      <c r="Q47" s="20">
        <v>0</v>
      </c>
      <c r="R47" s="20">
        <v>24.66</v>
      </c>
      <c r="S47" s="20">
        <v>37.36</v>
      </c>
      <c r="T47" s="20">
        <f t="shared" si="3"/>
        <v>37.980000000000004</v>
      </c>
      <c r="U47" s="20">
        <v>1.38</v>
      </c>
      <c r="V47" s="20">
        <v>0.33</v>
      </c>
      <c r="W47" s="20">
        <v>0.18</v>
      </c>
      <c r="X47" s="20">
        <v>-1</v>
      </c>
      <c r="Y47" s="20">
        <v>-1</v>
      </c>
      <c r="Z47" s="20">
        <v>-1</v>
      </c>
      <c r="AA47" s="20">
        <v>-1</v>
      </c>
      <c r="AB47" s="20">
        <v>-1</v>
      </c>
      <c r="AC47" s="20">
        <v>-1</v>
      </c>
      <c r="AD47" s="20">
        <v>4.21</v>
      </c>
      <c r="AE47" s="20">
        <v>4.21</v>
      </c>
      <c r="AF47" s="20">
        <v>-1</v>
      </c>
      <c r="AG47" s="20">
        <v>6.9999999999999994E-5</v>
      </c>
      <c r="AH47" s="20">
        <v>3.5000000000000003E-2</v>
      </c>
      <c r="AI47" s="20">
        <v>7.0000000000000007E-2</v>
      </c>
      <c r="AJ47" s="20">
        <v>0.2</v>
      </c>
      <c r="AK47" s="20">
        <v>1.0000000000000001E-7</v>
      </c>
      <c r="AL47" s="20">
        <v>0.6</v>
      </c>
      <c r="AM47" s="20">
        <v>0.2</v>
      </c>
      <c r="AN47" s="20">
        <v>10</v>
      </c>
      <c r="AO47" s="20">
        <v>50</v>
      </c>
      <c r="AP47" s="20">
        <v>10</v>
      </c>
      <c r="AQ47" s="20">
        <v>0.1</v>
      </c>
      <c r="AR47" s="20">
        <v>8</v>
      </c>
      <c r="AS47" s="20">
        <v>9.9999999999999991E-6</v>
      </c>
      <c r="AT47">
        <v>0.52500000000000002</v>
      </c>
    </row>
    <row r="48" spans="1:46" x14ac:dyDescent="0.25">
      <c r="A48" s="20" t="s">
        <v>350</v>
      </c>
      <c r="B48" s="20">
        <v>45</v>
      </c>
      <c r="C48" s="20" t="s">
        <v>363</v>
      </c>
      <c r="D48" s="20">
        <v>3.46E-3</v>
      </c>
      <c r="E48" s="20">
        <v>-1</v>
      </c>
      <c r="F48" s="20">
        <v>-1</v>
      </c>
      <c r="G48" s="20">
        <v>0</v>
      </c>
      <c r="H48" s="20">
        <v>0</v>
      </c>
      <c r="I48" s="20">
        <v>0</v>
      </c>
      <c r="J48" s="20">
        <v>0</v>
      </c>
      <c r="K48" s="20">
        <v>5</v>
      </c>
      <c r="L48" s="20">
        <v>0</v>
      </c>
      <c r="M48" s="20">
        <v>0.5</v>
      </c>
      <c r="N48" s="20">
        <v>23</v>
      </c>
      <c r="O48" s="20">
        <v>400</v>
      </c>
      <c r="P48" s="20">
        <v>206000</v>
      </c>
      <c r="Q48" s="20">
        <v>0</v>
      </c>
      <c r="R48" s="20">
        <v>24.66</v>
      </c>
      <c r="S48" s="20">
        <v>37.36</v>
      </c>
      <c r="T48" s="20">
        <f t="shared" si="3"/>
        <v>37.980000000000004</v>
      </c>
      <c r="U48" s="20">
        <v>1.44</v>
      </c>
      <c r="V48" s="20">
        <v>0.33</v>
      </c>
      <c r="W48" s="20">
        <v>0.18</v>
      </c>
      <c r="X48" s="20">
        <v>-1</v>
      </c>
      <c r="Y48" s="20">
        <v>-1</v>
      </c>
      <c r="Z48" s="20">
        <v>-1</v>
      </c>
      <c r="AA48" s="20">
        <v>-1</v>
      </c>
      <c r="AB48" s="20">
        <v>-1</v>
      </c>
      <c r="AC48" s="20">
        <v>-1</v>
      </c>
      <c r="AD48" s="20">
        <v>1.1499999999999999</v>
      </c>
      <c r="AE48" s="20">
        <v>1.1499999999999999</v>
      </c>
      <c r="AF48" s="20">
        <v>-1</v>
      </c>
      <c r="AG48" s="20">
        <v>6.9999999999999994E-5</v>
      </c>
      <c r="AH48" s="20">
        <v>3.5000000000000003E-2</v>
      </c>
      <c r="AI48" s="20">
        <v>7.0000000000000007E-2</v>
      </c>
      <c r="AJ48" s="20">
        <v>0.2</v>
      </c>
      <c r="AK48" s="20">
        <v>1.0000000000000001E-7</v>
      </c>
      <c r="AL48" s="20">
        <v>0.6</v>
      </c>
      <c r="AM48" s="20">
        <v>0.2</v>
      </c>
      <c r="AN48" s="20">
        <v>10</v>
      </c>
      <c r="AO48" s="20">
        <v>50</v>
      </c>
      <c r="AP48" s="20">
        <v>10</v>
      </c>
      <c r="AQ48" s="20">
        <v>0.1</v>
      </c>
      <c r="AR48" s="20">
        <v>8</v>
      </c>
      <c r="AS48" s="20">
        <v>9.9999999999999991E-6</v>
      </c>
      <c r="AT48">
        <v>0.45800000000000002</v>
      </c>
    </row>
    <row r="49" spans="1:46" x14ac:dyDescent="0.25">
      <c r="A49" s="20" t="s">
        <v>353</v>
      </c>
      <c r="B49" s="20">
        <v>15</v>
      </c>
      <c r="C49" s="20" t="s">
        <v>363</v>
      </c>
      <c r="D49" s="20">
        <v>9.9600000000000001E-3</v>
      </c>
      <c r="E49" s="20">
        <v>-1</v>
      </c>
      <c r="F49" s="20">
        <v>-1</v>
      </c>
      <c r="G49" s="20">
        <v>0</v>
      </c>
      <c r="H49" s="20">
        <v>0</v>
      </c>
      <c r="I49" s="20">
        <v>0</v>
      </c>
      <c r="J49" s="20">
        <v>0</v>
      </c>
      <c r="K49" s="20">
        <v>5</v>
      </c>
      <c r="L49" s="20">
        <v>0</v>
      </c>
      <c r="M49" s="20">
        <v>0.5</v>
      </c>
      <c r="N49" s="20">
        <v>23</v>
      </c>
      <c r="O49" s="20">
        <v>400</v>
      </c>
      <c r="P49" s="20">
        <v>206000</v>
      </c>
      <c r="Q49" s="20">
        <v>0</v>
      </c>
      <c r="R49" s="20">
        <v>19.64</v>
      </c>
      <c r="S49" s="20">
        <v>38.54</v>
      </c>
      <c r="T49" s="20">
        <f t="shared" si="3"/>
        <v>41.82</v>
      </c>
      <c r="U49" s="20">
        <v>1.18</v>
      </c>
      <c r="V49" s="20">
        <v>0.34</v>
      </c>
      <c r="W49" s="20">
        <v>0.18</v>
      </c>
      <c r="X49" s="20">
        <v>-1</v>
      </c>
      <c r="Y49" s="20">
        <v>-1</v>
      </c>
      <c r="Z49" s="20">
        <v>-1</v>
      </c>
      <c r="AA49" s="20">
        <v>-1</v>
      </c>
      <c r="AB49" s="20">
        <v>-1</v>
      </c>
      <c r="AC49" s="20">
        <v>-1</v>
      </c>
      <c r="AD49" s="20">
        <v>16.13</v>
      </c>
      <c r="AE49" s="20">
        <v>16.13</v>
      </c>
      <c r="AF49" s="20">
        <v>-1</v>
      </c>
      <c r="AG49" s="20">
        <v>6.9999999999999994E-5</v>
      </c>
      <c r="AH49" s="20">
        <v>3.5000000000000003E-2</v>
      </c>
      <c r="AI49" s="20">
        <v>7.0000000000000007E-2</v>
      </c>
      <c r="AJ49" s="20">
        <v>0.2</v>
      </c>
      <c r="AK49" s="20">
        <v>1.0000000000000001E-7</v>
      </c>
      <c r="AL49" s="20">
        <v>0.6</v>
      </c>
      <c r="AM49" s="20">
        <v>0.2</v>
      </c>
      <c r="AN49" s="20">
        <v>10</v>
      </c>
      <c r="AO49" s="20">
        <v>50</v>
      </c>
      <c r="AP49" s="20">
        <v>10</v>
      </c>
      <c r="AQ49" s="20">
        <v>0.1</v>
      </c>
      <c r="AR49" s="20">
        <v>8</v>
      </c>
      <c r="AS49" s="20">
        <v>9.9999999999999991E-6</v>
      </c>
      <c r="AT49">
        <v>0.55300000000000005</v>
      </c>
    </row>
    <row r="50" spans="1:46" x14ac:dyDescent="0.25">
      <c r="A50" s="20" t="s">
        <v>353</v>
      </c>
      <c r="B50" s="20">
        <v>30</v>
      </c>
      <c r="C50" s="20" t="s">
        <v>363</v>
      </c>
      <c r="D50" s="20">
        <v>5.96E-3</v>
      </c>
      <c r="E50" s="20">
        <v>-1</v>
      </c>
      <c r="F50" s="20">
        <v>-1</v>
      </c>
      <c r="G50" s="20">
        <v>0</v>
      </c>
      <c r="H50" s="20">
        <v>0</v>
      </c>
      <c r="I50" s="20">
        <v>0</v>
      </c>
      <c r="J50" s="20">
        <v>0</v>
      </c>
      <c r="K50" s="20">
        <v>5</v>
      </c>
      <c r="L50" s="20">
        <v>0</v>
      </c>
      <c r="M50" s="20">
        <v>0.5</v>
      </c>
      <c r="N50" s="20">
        <v>23</v>
      </c>
      <c r="O50" s="20">
        <v>400</v>
      </c>
      <c r="P50" s="20">
        <v>206000</v>
      </c>
      <c r="Q50" s="20">
        <v>0</v>
      </c>
      <c r="R50" s="20">
        <v>24.66</v>
      </c>
      <c r="S50" s="20">
        <v>37.36</v>
      </c>
      <c r="T50" s="20">
        <f t="shared" si="3"/>
        <v>37.980000000000004</v>
      </c>
      <c r="U50" s="20">
        <v>1.38</v>
      </c>
      <c r="V50" s="20">
        <v>0.33</v>
      </c>
      <c r="W50" s="20">
        <v>0.18</v>
      </c>
      <c r="X50" s="20">
        <v>-1</v>
      </c>
      <c r="Y50" s="20">
        <v>-1</v>
      </c>
      <c r="Z50" s="20">
        <v>-1</v>
      </c>
      <c r="AA50" s="20">
        <v>-1</v>
      </c>
      <c r="AB50" s="20">
        <v>-1</v>
      </c>
      <c r="AC50" s="20">
        <v>-1</v>
      </c>
      <c r="AD50" s="20">
        <v>4.21</v>
      </c>
      <c r="AE50" s="20">
        <v>4.21</v>
      </c>
      <c r="AF50" s="20">
        <v>-1</v>
      </c>
      <c r="AG50" s="20">
        <v>6.9999999999999994E-5</v>
      </c>
      <c r="AH50" s="20">
        <v>3.5000000000000003E-2</v>
      </c>
      <c r="AI50" s="20">
        <v>7.0000000000000007E-2</v>
      </c>
      <c r="AJ50" s="20">
        <v>0.2</v>
      </c>
      <c r="AK50" s="20">
        <v>1.0000000000000001E-7</v>
      </c>
      <c r="AL50" s="20">
        <v>0.6</v>
      </c>
      <c r="AM50" s="20">
        <v>0.2</v>
      </c>
      <c r="AN50" s="20">
        <v>10</v>
      </c>
      <c r="AO50" s="20">
        <v>50</v>
      </c>
      <c r="AP50" s="20">
        <v>10</v>
      </c>
      <c r="AQ50" s="20">
        <v>0.1</v>
      </c>
      <c r="AR50" s="20">
        <v>8</v>
      </c>
      <c r="AS50" s="20">
        <v>9.9999999999999991E-6</v>
      </c>
      <c r="AT50">
        <v>0.52500000000000002</v>
      </c>
    </row>
    <row r="51" spans="1:46" x14ac:dyDescent="0.25">
      <c r="A51" s="20" t="s">
        <v>353</v>
      </c>
      <c r="B51" s="20">
        <v>45</v>
      </c>
      <c r="C51" s="20" t="s">
        <v>363</v>
      </c>
      <c r="D51" s="20">
        <v>3.5599999999999998E-3</v>
      </c>
      <c r="E51" s="20">
        <v>-1</v>
      </c>
      <c r="F51" s="20">
        <v>-1</v>
      </c>
      <c r="G51" s="20">
        <v>0</v>
      </c>
      <c r="H51" s="20">
        <v>0</v>
      </c>
      <c r="I51" s="20">
        <v>0</v>
      </c>
      <c r="J51" s="20">
        <v>0</v>
      </c>
      <c r="K51" s="20">
        <v>5</v>
      </c>
      <c r="L51" s="20">
        <v>0</v>
      </c>
      <c r="M51" s="20">
        <v>0.5</v>
      </c>
      <c r="N51" s="20">
        <v>23</v>
      </c>
      <c r="O51" s="20">
        <v>400</v>
      </c>
      <c r="P51" s="20">
        <v>206000</v>
      </c>
      <c r="Q51" s="20">
        <v>0</v>
      </c>
      <c r="R51" s="20">
        <v>24.66</v>
      </c>
      <c r="S51" s="20">
        <v>37.36</v>
      </c>
      <c r="T51" s="20">
        <f t="shared" si="3"/>
        <v>37.980000000000004</v>
      </c>
      <c r="U51" s="20">
        <v>1.44</v>
      </c>
      <c r="V51" s="20">
        <v>0.33</v>
      </c>
      <c r="W51" s="20">
        <v>0.18</v>
      </c>
      <c r="X51" s="20">
        <v>-1</v>
      </c>
      <c r="Y51" s="20">
        <v>-1</v>
      </c>
      <c r="Z51" s="20">
        <v>-1</v>
      </c>
      <c r="AA51" s="20">
        <v>-1</v>
      </c>
      <c r="AB51" s="20">
        <v>-1</v>
      </c>
      <c r="AC51" s="20">
        <v>-1</v>
      </c>
      <c r="AD51" s="20">
        <v>1.1499999999999999</v>
      </c>
      <c r="AE51" s="20">
        <v>1.1499999999999999</v>
      </c>
      <c r="AF51" s="20">
        <v>-1</v>
      </c>
      <c r="AG51" s="20">
        <v>6.9999999999999994E-5</v>
      </c>
      <c r="AH51" s="20">
        <v>3.5000000000000003E-2</v>
      </c>
      <c r="AI51" s="20">
        <v>7.0000000000000007E-2</v>
      </c>
      <c r="AJ51" s="20">
        <v>0.2</v>
      </c>
      <c r="AK51" s="20">
        <v>1.0000000000000001E-7</v>
      </c>
      <c r="AL51" s="20">
        <v>0.6</v>
      </c>
      <c r="AM51" s="20">
        <v>0.2</v>
      </c>
      <c r="AN51" s="20">
        <v>10</v>
      </c>
      <c r="AO51" s="20">
        <v>50</v>
      </c>
      <c r="AP51" s="20">
        <v>10</v>
      </c>
      <c r="AQ51" s="20">
        <v>0.1</v>
      </c>
      <c r="AR51" s="20">
        <v>8</v>
      </c>
      <c r="AS51" s="20">
        <v>9.9999999999999991E-6</v>
      </c>
      <c r="AT51">
        <v>0.45800000000000002</v>
      </c>
    </row>
    <row r="52" spans="1:46" x14ac:dyDescent="0.25">
      <c r="A52" s="20" t="s">
        <v>356</v>
      </c>
      <c r="B52" s="20">
        <v>15</v>
      </c>
      <c r="C52" s="20" t="s">
        <v>363</v>
      </c>
      <c r="D52" s="20">
        <v>9.7599999999999996E-3</v>
      </c>
      <c r="E52" s="20">
        <v>-1</v>
      </c>
      <c r="F52" s="20">
        <v>-1</v>
      </c>
      <c r="G52" s="20">
        <v>0</v>
      </c>
      <c r="H52" s="20">
        <v>0</v>
      </c>
      <c r="I52" s="20">
        <v>0</v>
      </c>
      <c r="J52" s="20">
        <v>0</v>
      </c>
      <c r="K52" s="20">
        <v>5</v>
      </c>
      <c r="L52" s="20">
        <v>0</v>
      </c>
      <c r="M52" s="20">
        <v>0.5</v>
      </c>
      <c r="N52" s="20">
        <v>23</v>
      </c>
      <c r="O52" s="20">
        <v>400</v>
      </c>
      <c r="P52" s="20">
        <v>206000</v>
      </c>
      <c r="Q52" s="20">
        <v>0</v>
      </c>
      <c r="R52" s="20">
        <v>19.64</v>
      </c>
      <c r="S52" s="20">
        <v>38.54</v>
      </c>
      <c r="T52" s="20">
        <f t="shared" si="3"/>
        <v>41.82</v>
      </c>
      <c r="U52" s="20">
        <v>1.18</v>
      </c>
      <c r="V52" s="20">
        <v>0.34</v>
      </c>
      <c r="W52" s="20">
        <v>0.18</v>
      </c>
      <c r="X52" s="20">
        <v>-1</v>
      </c>
      <c r="Y52" s="20">
        <v>-1</v>
      </c>
      <c r="Z52" s="20">
        <v>-1</v>
      </c>
      <c r="AA52" s="20">
        <v>-1</v>
      </c>
      <c r="AB52" s="20">
        <v>-1</v>
      </c>
      <c r="AC52" s="20">
        <v>-1</v>
      </c>
      <c r="AD52" s="20">
        <v>16.13</v>
      </c>
      <c r="AE52" s="20">
        <v>16.13</v>
      </c>
      <c r="AF52" s="20">
        <v>-1</v>
      </c>
      <c r="AG52" s="20">
        <v>6.9999999999999994E-5</v>
      </c>
      <c r="AH52" s="20">
        <v>3.5000000000000003E-2</v>
      </c>
      <c r="AI52" s="20">
        <v>7.0000000000000007E-2</v>
      </c>
      <c r="AJ52" s="20">
        <v>0.2</v>
      </c>
      <c r="AK52" s="20">
        <v>1.0000000000000001E-7</v>
      </c>
      <c r="AL52" s="20">
        <v>0.6</v>
      </c>
      <c r="AM52" s="20">
        <v>0.2</v>
      </c>
      <c r="AN52" s="20">
        <v>10</v>
      </c>
      <c r="AO52" s="20">
        <v>50</v>
      </c>
      <c r="AP52" s="20">
        <v>10</v>
      </c>
      <c r="AQ52" s="20">
        <v>0.1</v>
      </c>
      <c r="AR52" s="20">
        <v>8</v>
      </c>
      <c r="AS52" s="20">
        <v>9.9999999999999991E-6</v>
      </c>
      <c r="AT52">
        <v>0.55300000000000005</v>
      </c>
    </row>
    <row r="53" spans="1:46" x14ac:dyDescent="0.25">
      <c r="A53" s="20" t="s">
        <v>356</v>
      </c>
      <c r="B53" s="20">
        <v>30</v>
      </c>
      <c r="C53" s="20" t="s">
        <v>363</v>
      </c>
      <c r="D53" s="20">
        <v>5.96E-3</v>
      </c>
      <c r="E53" s="20">
        <v>-1</v>
      </c>
      <c r="F53" s="20">
        <v>-1</v>
      </c>
      <c r="G53" s="20">
        <v>0</v>
      </c>
      <c r="H53" s="20">
        <v>0</v>
      </c>
      <c r="I53" s="20">
        <v>0</v>
      </c>
      <c r="J53" s="20">
        <v>0</v>
      </c>
      <c r="K53" s="20">
        <v>5</v>
      </c>
      <c r="L53" s="20">
        <v>0</v>
      </c>
      <c r="M53" s="20">
        <v>0.5</v>
      </c>
      <c r="N53" s="20">
        <v>23</v>
      </c>
      <c r="O53" s="20">
        <v>400</v>
      </c>
      <c r="P53" s="20">
        <v>206000</v>
      </c>
      <c r="Q53" s="20">
        <v>0</v>
      </c>
      <c r="R53" s="20">
        <v>24.66</v>
      </c>
      <c r="S53" s="20">
        <v>37.36</v>
      </c>
      <c r="T53" s="20">
        <f t="shared" si="3"/>
        <v>37.980000000000004</v>
      </c>
      <c r="U53" s="20">
        <v>1.38</v>
      </c>
      <c r="V53" s="20">
        <v>0.33</v>
      </c>
      <c r="W53" s="20">
        <v>0.18</v>
      </c>
      <c r="X53" s="20">
        <v>-1</v>
      </c>
      <c r="Y53" s="20">
        <v>-1</v>
      </c>
      <c r="Z53" s="20">
        <v>-1</v>
      </c>
      <c r="AA53" s="20">
        <v>-1</v>
      </c>
      <c r="AB53" s="20">
        <v>-1</v>
      </c>
      <c r="AC53" s="20">
        <v>-1</v>
      </c>
      <c r="AD53" s="20">
        <v>4.21</v>
      </c>
      <c r="AE53" s="20">
        <v>4.21</v>
      </c>
      <c r="AF53" s="20">
        <v>-1</v>
      </c>
      <c r="AG53" s="20">
        <v>6.9999999999999994E-5</v>
      </c>
      <c r="AH53" s="20">
        <v>3.5000000000000003E-2</v>
      </c>
      <c r="AI53" s="20">
        <v>7.0000000000000007E-2</v>
      </c>
      <c r="AJ53" s="20">
        <v>0.2</v>
      </c>
      <c r="AK53" s="20">
        <v>1.0000000000000001E-7</v>
      </c>
      <c r="AL53" s="20">
        <v>0.6</v>
      </c>
      <c r="AM53" s="20">
        <v>0.2</v>
      </c>
      <c r="AN53" s="20">
        <v>10</v>
      </c>
      <c r="AO53" s="20">
        <v>50</v>
      </c>
      <c r="AP53" s="20">
        <v>10</v>
      </c>
      <c r="AQ53" s="20">
        <v>0.1</v>
      </c>
      <c r="AR53" s="20">
        <v>8</v>
      </c>
      <c r="AS53" s="20">
        <v>9.9999999999999991E-6</v>
      </c>
      <c r="AT53">
        <v>0.52500000000000002</v>
      </c>
    </row>
    <row r="54" spans="1:46" x14ac:dyDescent="0.25">
      <c r="A54" s="20" t="s">
        <v>356</v>
      </c>
      <c r="B54" s="20">
        <v>45</v>
      </c>
      <c r="C54" s="20" t="s">
        <v>363</v>
      </c>
      <c r="D54" s="20">
        <v>3.8600000000000001E-3</v>
      </c>
      <c r="E54" s="20">
        <v>-1</v>
      </c>
      <c r="F54" s="20">
        <v>-1</v>
      </c>
      <c r="G54" s="20">
        <v>0</v>
      </c>
      <c r="H54" s="20">
        <v>0</v>
      </c>
      <c r="I54" s="20">
        <v>0</v>
      </c>
      <c r="J54" s="20">
        <v>0</v>
      </c>
      <c r="K54" s="20">
        <v>5</v>
      </c>
      <c r="L54" s="20">
        <v>0</v>
      </c>
      <c r="M54" s="20">
        <v>0.5</v>
      </c>
      <c r="N54" s="20">
        <v>23</v>
      </c>
      <c r="O54" s="20">
        <v>400</v>
      </c>
      <c r="P54" s="20">
        <v>206000</v>
      </c>
      <c r="Q54" s="20">
        <v>0</v>
      </c>
      <c r="R54" s="20">
        <v>24.66</v>
      </c>
      <c r="S54" s="20">
        <v>37.36</v>
      </c>
      <c r="T54" s="20">
        <f t="shared" si="3"/>
        <v>37.980000000000004</v>
      </c>
      <c r="U54" s="20">
        <v>1.44</v>
      </c>
      <c r="V54" s="20">
        <v>0.33</v>
      </c>
      <c r="W54" s="20">
        <v>0.18</v>
      </c>
      <c r="X54" s="20">
        <v>-1</v>
      </c>
      <c r="Y54" s="20">
        <v>-1</v>
      </c>
      <c r="Z54" s="20">
        <v>-1</v>
      </c>
      <c r="AA54" s="20">
        <v>-1</v>
      </c>
      <c r="AB54" s="20">
        <v>-1</v>
      </c>
      <c r="AC54" s="20">
        <v>-1</v>
      </c>
      <c r="AD54" s="20">
        <v>1.1499999999999999</v>
      </c>
      <c r="AE54" s="20">
        <v>1.1499999999999999</v>
      </c>
      <c r="AF54" s="20">
        <v>-1</v>
      </c>
      <c r="AG54" s="20">
        <v>6.9999999999999994E-5</v>
      </c>
      <c r="AH54" s="20">
        <v>3.5000000000000003E-2</v>
      </c>
      <c r="AI54" s="20">
        <v>7.0000000000000007E-2</v>
      </c>
      <c r="AJ54" s="20">
        <v>0.2</v>
      </c>
      <c r="AK54" s="20">
        <v>1.0000000000000001E-7</v>
      </c>
      <c r="AL54" s="20">
        <v>0.6</v>
      </c>
      <c r="AM54" s="20">
        <v>0.2</v>
      </c>
      <c r="AN54" s="20">
        <v>10</v>
      </c>
      <c r="AO54" s="20">
        <v>50</v>
      </c>
      <c r="AP54" s="20">
        <v>10</v>
      </c>
      <c r="AQ54" s="20">
        <v>0.1</v>
      </c>
      <c r="AR54" s="20">
        <v>8</v>
      </c>
      <c r="AS54" s="20">
        <v>9.9999999999999991E-6</v>
      </c>
      <c r="AT54">
        <v>0.45800000000000002</v>
      </c>
    </row>
    <row r="55" spans="1:46" x14ac:dyDescent="0.25">
      <c r="A55" s="20" t="s">
        <v>359</v>
      </c>
      <c r="B55" s="20">
        <v>15</v>
      </c>
      <c r="C55" s="20" t="s">
        <v>363</v>
      </c>
      <c r="D55" s="20">
        <v>9.5600000000000008E-3</v>
      </c>
      <c r="E55" s="20">
        <v>-1</v>
      </c>
      <c r="F55" s="20">
        <v>-1</v>
      </c>
      <c r="G55" s="20">
        <v>0</v>
      </c>
      <c r="H55" s="20">
        <v>0</v>
      </c>
      <c r="I55" s="20">
        <v>0</v>
      </c>
      <c r="J55" s="20">
        <v>0</v>
      </c>
      <c r="K55" s="20">
        <v>5</v>
      </c>
      <c r="L55" s="20">
        <v>0</v>
      </c>
      <c r="M55" s="20">
        <v>0.5</v>
      </c>
      <c r="N55" s="20">
        <v>23</v>
      </c>
      <c r="O55" s="20">
        <v>400</v>
      </c>
      <c r="P55" s="20">
        <v>206000</v>
      </c>
      <c r="Q55" s="20">
        <v>0</v>
      </c>
      <c r="R55" s="20">
        <v>19.64</v>
      </c>
      <c r="S55" s="20">
        <v>38.54</v>
      </c>
      <c r="T55" s="20">
        <f t="shared" si="3"/>
        <v>41.82</v>
      </c>
      <c r="U55" s="20">
        <v>1.18</v>
      </c>
      <c r="V55" s="20">
        <v>0.34</v>
      </c>
      <c r="W55" s="20">
        <v>0.18</v>
      </c>
      <c r="X55" s="20">
        <v>-1</v>
      </c>
      <c r="Y55" s="20">
        <v>-1</v>
      </c>
      <c r="Z55" s="20">
        <v>-1</v>
      </c>
      <c r="AA55" s="20">
        <v>-1</v>
      </c>
      <c r="AB55" s="20">
        <v>-1</v>
      </c>
      <c r="AC55" s="20">
        <v>-1</v>
      </c>
      <c r="AD55" s="20">
        <v>16.13</v>
      </c>
      <c r="AE55" s="20">
        <v>16.13</v>
      </c>
      <c r="AF55" s="20">
        <v>-1</v>
      </c>
      <c r="AG55" s="20">
        <v>6.9999999999999994E-5</v>
      </c>
      <c r="AH55" s="20">
        <v>3.5000000000000003E-2</v>
      </c>
      <c r="AI55" s="20">
        <v>7.0000000000000007E-2</v>
      </c>
      <c r="AJ55" s="20">
        <v>0.2</v>
      </c>
      <c r="AK55" s="20">
        <v>1.0000000000000001E-7</v>
      </c>
      <c r="AL55" s="20">
        <v>0.6</v>
      </c>
      <c r="AM55" s="20">
        <v>0.2</v>
      </c>
      <c r="AN55" s="20">
        <v>10</v>
      </c>
      <c r="AO55" s="20">
        <v>50</v>
      </c>
      <c r="AP55" s="20">
        <v>10</v>
      </c>
      <c r="AQ55" s="20">
        <v>0.1</v>
      </c>
      <c r="AR55" s="20">
        <v>8</v>
      </c>
      <c r="AS55" s="20">
        <v>9.9999999999999991E-6</v>
      </c>
      <c r="AT55">
        <v>0.55300000000000005</v>
      </c>
    </row>
    <row r="56" spans="1:46" x14ac:dyDescent="0.25">
      <c r="A56" s="20" t="s">
        <v>359</v>
      </c>
      <c r="B56" s="20">
        <v>30</v>
      </c>
      <c r="C56" s="20" t="s">
        <v>363</v>
      </c>
      <c r="D56" s="20">
        <v>6.2599999999999999E-3</v>
      </c>
      <c r="E56" s="20">
        <v>-1</v>
      </c>
      <c r="F56" s="20">
        <v>-1</v>
      </c>
      <c r="G56" s="20">
        <v>0</v>
      </c>
      <c r="H56" s="20">
        <v>0</v>
      </c>
      <c r="I56" s="20">
        <v>0</v>
      </c>
      <c r="J56" s="20">
        <v>0</v>
      </c>
      <c r="K56" s="20">
        <v>5</v>
      </c>
      <c r="L56" s="20">
        <v>0</v>
      </c>
      <c r="M56" s="20">
        <v>0.5</v>
      </c>
      <c r="N56" s="20">
        <v>23</v>
      </c>
      <c r="O56" s="20">
        <v>400</v>
      </c>
      <c r="P56" s="20">
        <v>206000</v>
      </c>
      <c r="Q56" s="20">
        <v>0</v>
      </c>
      <c r="R56" s="20">
        <v>24.66</v>
      </c>
      <c r="S56" s="20">
        <v>37.36</v>
      </c>
      <c r="T56" s="20">
        <f t="shared" si="3"/>
        <v>37.980000000000004</v>
      </c>
      <c r="U56" s="20">
        <v>1.38</v>
      </c>
      <c r="V56" s="20">
        <v>0.33</v>
      </c>
      <c r="W56" s="20">
        <v>0.18</v>
      </c>
      <c r="X56" s="20">
        <v>-1</v>
      </c>
      <c r="Y56" s="20">
        <v>-1</v>
      </c>
      <c r="Z56" s="20">
        <v>-1</v>
      </c>
      <c r="AA56" s="20">
        <v>-1</v>
      </c>
      <c r="AB56" s="20">
        <v>-1</v>
      </c>
      <c r="AC56" s="20">
        <v>-1</v>
      </c>
      <c r="AD56" s="20">
        <v>4.21</v>
      </c>
      <c r="AE56" s="20">
        <v>4.21</v>
      </c>
      <c r="AF56" s="20">
        <v>-1</v>
      </c>
      <c r="AG56" s="20">
        <v>6.9999999999999994E-5</v>
      </c>
      <c r="AH56" s="20">
        <v>3.5000000000000003E-2</v>
      </c>
      <c r="AI56" s="20">
        <v>7.0000000000000007E-2</v>
      </c>
      <c r="AJ56" s="20">
        <v>0.2</v>
      </c>
      <c r="AK56" s="20">
        <v>1.0000000000000001E-7</v>
      </c>
      <c r="AL56" s="20">
        <v>0.6</v>
      </c>
      <c r="AM56" s="20">
        <v>0.2</v>
      </c>
      <c r="AN56" s="20">
        <v>10</v>
      </c>
      <c r="AO56" s="20">
        <v>50</v>
      </c>
      <c r="AP56" s="20">
        <v>10</v>
      </c>
      <c r="AQ56" s="20">
        <v>0.1</v>
      </c>
      <c r="AR56" s="20">
        <v>8</v>
      </c>
      <c r="AS56" s="20">
        <v>9.9999999999999991E-6</v>
      </c>
      <c r="AT56">
        <v>0.52500000000000002</v>
      </c>
    </row>
    <row r="57" spans="1:46" x14ac:dyDescent="0.25">
      <c r="A57" s="20" t="s">
        <v>359</v>
      </c>
      <c r="B57" s="20">
        <v>45</v>
      </c>
      <c r="C57" s="20" t="s">
        <v>363</v>
      </c>
      <c r="D57" s="20">
        <v>3.2499999999999999E-3</v>
      </c>
      <c r="E57" s="20">
        <v>-1</v>
      </c>
      <c r="F57" s="20">
        <v>-1</v>
      </c>
      <c r="G57" s="20">
        <v>0</v>
      </c>
      <c r="H57" s="20">
        <v>0</v>
      </c>
      <c r="I57" s="20">
        <v>0</v>
      </c>
      <c r="J57" s="20">
        <v>0</v>
      </c>
      <c r="K57" s="20">
        <v>5</v>
      </c>
      <c r="L57" s="20">
        <v>0</v>
      </c>
      <c r="M57" s="20">
        <v>0.5</v>
      </c>
      <c r="N57" s="20">
        <v>23</v>
      </c>
      <c r="O57" s="20">
        <v>400</v>
      </c>
      <c r="P57" s="20">
        <v>206000</v>
      </c>
      <c r="Q57" s="20">
        <v>0</v>
      </c>
      <c r="R57" s="20">
        <v>24.66</v>
      </c>
      <c r="S57" s="20">
        <v>37.36</v>
      </c>
      <c r="T57" s="20">
        <f t="shared" si="3"/>
        <v>37.980000000000004</v>
      </c>
      <c r="U57" s="20">
        <v>1.44</v>
      </c>
      <c r="V57" s="20">
        <v>0.33</v>
      </c>
      <c r="W57" s="20">
        <v>0.18</v>
      </c>
      <c r="X57" s="20">
        <v>-1</v>
      </c>
      <c r="Y57" s="20">
        <v>-1</v>
      </c>
      <c r="Z57" s="20">
        <v>-1</v>
      </c>
      <c r="AA57" s="20">
        <v>-1</v>
      </c>
      <c r="AB57" s="20">
        <v>-1</v>
      </c>
      <c r="AC57" s="20">
        <v>-1</v>
      </c>
      <c r="AD57" s="20">
        <v>1.1499999999999999</v>
      </c>
      <c r="AE57" s="20">
        <v>1.1499999999999999</v>
      </c>
      <c r="AF57" s="20">
        <v>-1</v>
      </c>
      <c r="AG57" s="20">
        <v>6.9999999999999994E-5</v>
      </c>
      <c r="AH57" s="20">
        <v>3.5000000000000003E-2</v>
      </c>
      <c r="AI57" s="20">
        <v>7.0000000000000007E-2</v>
      </c>
      <c r="AJ57" s="20">
        <v>0.2</v>
      </c>
      <c r="AK57" s="20">
        <v>1.0000000000000001E-7</v>
      </c>
      <c r="AL57" s="20">
        <v>0.6</v>
      </c>
      <c r="AM57" s="20">
        <v>0.2</v>
      </c>
      <c r="AN57" s="20">
        <v>10</v>
      </c>
      <c r="AO57" s="20">
        <v>50</v>
      </c>
      <c r="AP57" s="20">
        <v>10</v>
      </c>
      <c r="AQ57" s="20">
        <v>0.1</v>
      </c>
      <c r="AR57" s="20">
        <v>8</v>
      </c>
      <c r="AS57" s="20">
        <v>9.9999999999999991E-6</v>
      </c>
      <c r="AT57">
        <v>0.45800000000000002</v>
      </c>
    </row>
    <row r="58" spans="1:46" x14ac:dyDescent="0.25">
      <c r="A58" s="20" t="s">
        <v>362</v>
      </c>
      <c r="B58" s="20">
        <v>15</v>
      </c>
      <c r="C58" s="20" t="s">
        <v>363</v>
      </c>
      <c r="D58" s="20">
        <v>9.9600000000000001E-3</v>
      </c>
      <c r="E58" s="20">
        <v>-1</v>
      </c>
      <c r="F58" s="20">
        <v>-1</v>
      </c>
      <c r="G58" s="20">
        <v>0</v>
      </c>
      <c r="H58" s="20">
        <v>0</v>
      </c>
      <c r="I58" s="20">
        <v>0</v>
      </c>
      <c r="J58" s="20">
        <v>0</v>
      </c>
      <c r="K58" s="20">
        <v>5</v>
      </c>
      <c r="L58" s="20">
        <v>0</v>
      </c>
      <c r="M58" s="20">
        <v>0.5</v>
      </c>
      <c r="N58" s="20">
        <v>23</v>
      </c>
      <c r="O58" s="20">
        <v>400</v>
      </c>
      <c r="P58" s="20">
        <v>206000</v>
      </c>
      <c r="Q58" s="20">
        <v>0</v>
      </c>
      <c r="R58" s="20">
        <v>19.64</v>
      </c>
      <c r="S58" s="20">
        <v>38.54</v>
      </c>
      <c r="T58" s="20">
        <f t="shared" si="3"/>
        <v>41.82</v>
      </c>
      <c r="U58" s="20">
        <v>1.18</v>
      </c>
      <c r="V58" s="20">
        <v>0.34</v>
      </c>
      <c r="W58" s="20">
        <v>0.18</v>
      </c>
      <c r="X58" s="20">
        <v>-1</v>
      </c>
      <c r="Y58" s="20">
        <v>-1</v>
      </c>
      <c r="Z58" s="20">
        <v>-1</v>
      </c>
      <c r="AA58" s="20">
        <v>-1</v>
      </c>
      <c r="AB58" s="20">
        <v>-1</v>
      </c>
      <c r="AC58" s="20">
        <v>-1</v>
      </c>
      <c r="AD58" s="20">
        <v>16.13</v>
      </c>
      <c r="AE58" s="20">
        <v>16.13</v>
      </c>
      <c r="AF58" s="20">
        <v>-1</v>
      </c>
      <c r="AG58" s="20">
        <v>6.9999999999999994E-5</v>
      </c>
      <c r="AH58" s="20">
        <v>3.5000000000000003E-2</v>
      </c>
      <c r="AI58" s="20">
        <v>7.0000000000000007E-2</v>
      </c>
      <c r="AJ58" s="20">
        <v>0.2</v>
      </c>
      <c r="AK58" s="20">
        <v>1.0000000000000001E-7</v>
      </c>
      <c r="AL58" s="20">
        <v>0.6</v>
      </c>
      <c r="AM58" s="20">
        <v>0.2</v>
      </c>
      <c r="AN58" s="20">
        <v>10</v>
      </c>
      <c r="AO58" s="20">
        <v>50</v>
      </c>
      <c r="AP58" s="20">
        <v>10</v>
      </c>
      <c r="AQ58" s="20">
        <v>0.1</v>
      </c>
      <c r="AR58" s="20">
        <v>8</v>
      </c>
      <c r="AS58" s="20">
        <v>9.9999999999999991E-6</v>
      </c>
      <c r="AT58">
        <v>0.55300000000000005</v>
      </c>
    </row>
    <row r="59" spans="1:46" x14ac:dyDescent="0.25">
      <c r="A59" s="20" t="s">
        <v>362</v>
      </c>
      <c r="B59" s="20">
        <v>30</v>
      </c>
      <c r="C59" s="20" t="s">
        <v>363</v>
      </c>
      <c r="D59" s="20">
        <v>6.5599999999999999E-3</v>
      </c>
      <c r="E59" s="20">
        <v>-1</v>
      </c>
      <c r="F59" s="20">
        <v>-1</v>
      </c>
      <c r="G59" s="20">
        <v>0</v>
      </c>
      <c r="H59" s="20">
        <v>0</v>
      </c>
      <c r="I59" s="20">
        <v>0</v>
      </c>
      <c r="J59" s="20">
        <v>0</v>
      </c>
      <c r="K59" s="20">
        <v>5</v>
      </c>
      <c r="L59" s="20">
        <v>0</v>
      </c>
      <c r="M59" s="20">
        <v>0.5</v>
      </c>
      <c r="N59" s="20">
        <v>23</v>
      </c>
      <c r="O59" s="20">
        <v>400</v>
      </c>
      <c r="P59" s="20">
        <v>206000</v>
      </c>
      <c r="Q59" s="20">
        <v>0</v>
      </c>
      <c r="R59" s="20">
        <v>24.66</v>
      </c>
      <c r="S59" s="20">
        <v>37.36</v>
      </c>
      <c r="T59" s="20">
        <f t="shared" si="3"/>
        <v>37.980000000000004</v>
      </c>
      <c r="U59" s="20">
        <v>1.38</v>
      </c>
      <c r="V59" s="20">
        <v>0.33</v>
      </c>
      <c r="W59" s="20">
        <v>0.18</v>
      </c>
      <c r="X59" s="20">
        <v>-1</v>
      </c>
      <c r="Y59" s="20">
        <v>-1</v>
      </c>
      <c r="Z59" s="20">
        <v>-1</v>
      </c>
      <c r="AA59" s="20">
        <v>-1</v>
      </c>
      <c r="AB59" s="20">
        <v>-1</v>
      </c>
      <c r="AC59" s="20">
        <v>-1</v>
      </c>
      <c r="AD59" s="20">
        <v>4.21</v>
      </c>
      <c r="AE59" s="20">
        <v>4.21</v>
      </c>
      <c r="AF59" s="20">
        <v>-1</v>
      </c>
      <c r="AG59" s="20">
        <v>6.9999999999999994E-5</v>
      </c>
      <c r="AH59" s="20">
        <v>3.5000000000000003E-2</v>
      </c>
      <c r="AI59" s="20">
        <v>7.0000000000000007E-2</v>
      </c>
      <c r="AJ59" s="20">
        <v>0.2</v>
      </c>
      <c r="AK59" s="20">
        <v>1.0000000000000001E-7</v>
      </c>
      <c r="AL59" s="20">
        <v>0.6</v>
      </c>
      <c r="AM59" s="20">
        <v>0.2</v>
      </c>
      <c r="AN59" s="20">
        <v>10</v>
      </c>
      <c r="AO59" s="20">
        <v>50</v>
      </c>
      <c r="AP59" s="20">
        <v>10</v>
      </c>
      <c r="AQ59" s="20">
        <v>0.1</v>
      </c>
      <c r="AR59" s="20">
        <v>8</v>
      </c>
      <c r="AS59" s="20">
        <v>9.9999999999999991E-6</v>
      </c>
      <c r="AT59">
        <v>0.52500000000000002</v>
      </c>
    </row>
    <row r="60" spans="1:46" x14ac:dyDescent="0.25">
      <c r="A60" s="20" t="s">
        <v>362</v>
      </c>
      <c r="B60" s="20">
        <v>45</v>
      </c>
      <c r="C60" s="20" t="s">
        <v>363</v>
      </c>
      <c r="D60" s="20">
        <v>4.5599999999999998E-3</v>
      </c>
      <c r="E60" s="20">
        <v>-1</v>
      </c>
      <c r="F60" s="20">
        <v>-1</v>
      </c>
      <c r="G60" s="20">
        <v>0</v>
      </c>
      <c r="H60" s="20">
        <v>0</v>
      </c>
      <c r="I60" s="20">
        <v>0</v>
      </c>
      <c r="J60" s="20">
        <v>0</v>
      </c>
      <c r="K60" s="20">
        <v>5</v>
      </c>
      <c r="L60" s="20">
        <v>0</v>
      </c>
      <c r="M60" s="20">
        <v>0.5</v>
      </c>
      <c r="N60" s="20">
        <v>23</v>
      </c>
      <c r="O60" s="20">
        <v>400</v>
      </c>
      <c r="P60" s="20">
        <v>206000</v>
      </c>
      <c r="Q60" s="20">
        <v>0</v>
      </c>
      <c r="R60" s="20">
        <v>24.66</v>
      </c>
      <c r="S60" s="20">
        <v>37.36</v>
      </c>
      <c r="T60" s="20">
        <f t="shared" si="3"/>
        <v>37.980000000000004</v>
      </c>
      <c r="U60" s="20">
        <v>1.44</v>
      </c>
      <c r="V60" s="20">
        <v>0.33</v>
      </c>
      <c r="W60" s="20">
        <v>0.18</v>
      </c>
      <c r="X60" s="20">
        <v>-1</v>
      </c>
      <c r="Y60" s="20">
        <v>-1</v>
      </c>
      <c r="Z60" s="20">
        <v>-1</v>
      </c>
      <c r="AA60" s="20">
        <v>-1</v>
      </c>
      <c r="AB60" s="20">
        <v>-1</v>
      </c>
      <c r="AC60" s="20">
        <v>-1</v>
      </c>
      <c r="AD60" s="20">
        <v>1.1499999999999999</v>
      </c>
      <c r="AE60" s="20">
        <v>1.1499999999999999</v>
      </c>
      <c r="AF60" s="20">
        <v>-1</v>
      </c>
      <c r="AG60" s="20">
        <v>6.9999999999999994E-5</v>
      </c>
      <c r="AH60" s="20">
        <v>3.5000000000000003E-2</v>
      </c>
      <c r="AI60" s="20">
        <v>7.0000000000000007E-2</v>
      </c>
      <c r="AJ60" s="20">
        <v>0.2</v>
      </c>
      <c r="AK60" s="20">
        <v>1.0000000000000001E-7</v>
      </c>
      <c r="AL60" s="20">
        <v>0.6</v>
      </c>
      <c r="AM60" s="20">
        <v>0.2</v>
      </c>
      <c r="AN60" s="20">
        <v>10</v>
      </c>
      <c r="AO60" s="20">
        <v>50</v>
      </c>
      <c r="AP60" s="20">
        <v>10</v>
      </c>
      <c r="AQ60" s="20">
        <v>0.1</v>
      </c>
      <c r="AR60" s="20">
        <v>8</v>
      </c>
      <c r="AS60" s="20">
        <v>9.9999999999999991E-6</v>
      </c>
      <c r="AT60">
        <v>0.45800000000000002</v>
      </c>
    </row>
    <row r="61" spans="1:46" x14ac:dyDescent="0.25">
      <c r="A61" s="20" t="s">
        <v>322</v>
      </c>
      <c r="B61" s="20">
        <v>15</v>
      </c>
      <c r="C61" s="20" t="s">
        <v>363</v>
      </c>
      <c r="D61" s="20">
        <v>9.3600000000000003E-3</v>
      </c>
      <c r="E61" s="20">
        <v>-1</v>
      </c>
      <c r="F61" s="20">
        <v>-1</v>
      </c>
      <c r="G61" s="20">
        <v>0</v>
      </c>
      <c r="H61" s="20">
        <v>0</v>
      </c>
      <c r="I61" s="20">
        <v>0</v>
      </c>
      <c r="J61" s="20">
        <v>0</v>
      </c>
      <c r="K61" s="20">
        <v>5</v>
      </c>
      <c r="L61" s="20">
        <v>0</v>
      </c>
      <c r="M61" s="20">
        <v>0.5</v>
      </c>
      <c r="N61" s="20">
        <v>23</v>
      </c>
      <c r="O61" s="20">
        <v>400</v>
      </c>
      <c r="P61" s="20">
        <v>206000</v>
      </c>
      <c r="Q61" s="20">
        <v>0</v>
      </c>
      <c r="R61" s="20">
        <f>R43</f>
        <v>19.64</v>
      </c>
      <c r="S61" s="20">
        <f t="shared" ref="S61:U61" si="4">S43</f>
        <v>38.54</v>
      </c>
      <c r="T61" s="20">
        <f t="shared" si="4"/>
        <v>41.82</v>
      </c>
      <c r="U61" s="20">
        <f t="shared" si="4"/>
        <v>1.18</v>
      </c>
      <c r="V61" s="20">
        <v>0.33</v>
      </c>
      <c r="W61" s="20">
        <v>0.18</v>
      </c>
      <c r="X61" s="20">
        <v>-1</v>
      </c>
      <c r="Y61" s="20">
        <v>-1</v>
      </c>
      <c r="Z61" s="20">
        <v>-1</v>
      </c>
      <c r="AA61" s="20">
        <v>-1</v>
      </c>
      <c r="AB61" s="20">
        <v>-1</v>
      </c>
      <c r="AC61" s="20">
        <v>-1</v>
      </c>
      <c r="AD61" s="20">
        <v>1.1499999999999999</v>
      </c>
      <c r="AE61" s="20">
        <v>1.1499999999999999</v>
      </c>
      <c r="AF61" s="20">
        <v>-1</v>
      </c>
      <c r="AG61" s="20">
        <v>6.9999999999999994E-5</v>
      </c>
      <c r="AH61" s="20">
        <v>3.5000000000000003E-2</v>
      </c>
      <c r="AI61" s="20">
        <v>7.0000000000000007E-2</v>
      </c>
      <c r="AJ61" s="20">
        <v>0.2</v>
      </c>
      <c r="AK61" s="20">
        <v>1.0000000000000001E-7</v>
      </c>
      <c r="AL61" s="20">
        <v>0.6</v>
      </c>
      <c r="AM61" s="20">
        <v>0.2</v>
      </c>
      <c r="AN61" s="20">
        <v>10</v>
      </c>
      <c r="AO61" s="20">
        <v>50</v>
      </c>
      <c r="AP61" s="20">
        <v>10</v>
      </c>
      <c r="AQ61" s="20">
        <v>0.1</v>
      </c>
      <c r="AR61" s="20">
        <v>8</v>
      </c>
      <c r="AS61" s="20">
        <v>9.9999999999999991E-6</v>
      </c>
      <c r="AT61">
        <v>0.55300000000000005</v>
      </c>
    </row>
    <row r="62" spans="1:46" x14ac:dyDescent="0.25">
      <c r="A62" s="20" t="s">
        <v>322</v>
      </c>
      <c r="B62" s="20">
        <v>30</v>
      </c>
      <c r="C62" s="20" t="s">
        <v>363</v>
      </c>
      <c r="D62" s="20">
        <v>5.7000000000000002E-3</v>
      </c>
      <c r="E62" s="20">
        <v>-1</v>
      </c>
      <c r="F62" s="20">
        <v>-1</v>
      </c>
      <c r="G62" s="20">
        <v>0</v>
      </c>
      <c r="H62" s="20">
        <v>0</v>
      </c>
      <c r="I62" s="20">
        <v>0</v>
      </c>
      <c r="J62" s="20">
        <v>0</v>
      </c>
      <c r="K62" s="20">
        <v>5</v>
      </c>
      <c r="L62" s="20">
        <v>0</v>
      </c>
      <c r="M62" s="20">
        <v>0.5</v>
      </c>
      <c r="N62" s="20">
        <v>23</v>
      </c>
      <c r="O62" s="20">
        <v>400</v>
      </c>
      <c r="P62" s="20">
        <v>206000</v>
      </c>
      <c r="Q62" s="20">
        <v>0</v>
      </c>
      <c r="R62" s="20">
        <f t="shared" ref="R62:U77" si="5">R44</f>
        <v>24.66</v>
      </c>
      <c r="S62" s="20">
        <f t="shared" si="5"/>
        <v>37.36</v>
      </c>
      <c r="T62" s="20">
        <f t="shared" si="5"/>
        <v>37.980000000000004</v>
      </c>
      <c r="U62" s="20">
        <f t="shared" si="5"/>
        <v>1.38</v>
      </c>
      <c r="V62" s="20">
        <v>0.33</v>
      </c>
      <c r="W62" s="20">
        <v>0.18</v>
      </c>
      <c r="X62" s="20">
        <v>-1</v>
      </c>
      <c r="Y62" s="20">
        <v>-1</v>
      </c>
      <c r="Z62" s="20">
        <v>-1</v>
      </c>
      <c r="AA62" s="20">
        <v>-1</v>
      </c>
      <c r="AB62" s="20">
        <v>-1</v>
      </c>
      <c r="AC62" s="20">
        <v>-1</v>
      </c>
      <c r="AD62" s="20">
        <v>1.1499999999999999</v>
      </c>
      <c r="AE62" s="20">
        <v>1.1499999999999999</v>
      </c>
      <c r="AF62" s="20">
        <v>-1</v>
      </c>
      <c r="AG62" s="20">
        <v>6.9999999999999994E-5</v>
      </c>
      <c r="AH62" s="20">
        <v>3.5000000000000003E-2</v>
      </c>
      <c r="AI62" s="20">
        <v>7.0000000000000007E-2</v>
      </c>
      <c r="AJ62" s="20">
        <v>0.2</v>
      </c>
      <c r="AK62" s="20">
        <v>1.0000000000000001E-7</v>
      </c>
      <c r="AL62" s="20">
        <v>0.6</v>
      </c>
      <c r="AM62" s="20">
        <v>0.2</v>
      </c>
      <c r="AN62" s="20">
        <v>10</v>
      </c>
      <c r="AO62" s="20">
        <v>50</v>
      </c>
      <c r="AP62" s="20">
        <v>10</v>
      </c>
      <c r="AQ62" s="20">
        <v>0.1</v>
      </c>
      <c r="AR62" s="20">
        <v>8</v>
      </c>
      <c r="AS62" s="20">
        <v>9.9999999999999991E-6</v>
      </c>
      <c r="AT62">
        <v>0.52500000000000002</v>
      </c>
    </row>
    <row r="63" spans="1:46" x14ac:dyDescent="0.25">
      <c r="A63" s="20" t="s">
        <v>322</v>
      </c>
      <c r="B63" s="20">
        <v>45</v>
      </c>
      <c r="C63" s="20" t="s">
        <v>363</v>
      </c>
      <c r="D63" s="20">
        <v>3.2499999999999999E-3</v>
      </c>
      <c r="E63" s="20">
        <v>-1</v>
      </c>
      <c r="F63" s="20">
        <v>-1</v>
      </c>
      <c r="G63" s="20">
        <v>0</v>
      </c>
      <c r="H63" s="20">
        <v>0</v>
      </c>
      <c r="I63" s="20">
        <v>0</v>
      </c>
      <c r="J63" s="20">
        <v>0</v>
      </c>
      <c r="K63" s="20">
        <v>5</v>
      </c>
      <c r="L63" s="20">
        <v>0</v>
      </c>
      <c r="M63" s="20">
        <v>0.5</v>
      </c>
      <c r="N63" s="20">
        <v>23</v>
      </c>
      <c r="O63" s="20">
        <v>400</v>
      </c>
      <c r="P63" s="20">
        <v>206000</v>
      </c>
      <c r="Q63" s="20">
        <v>0</v>
      </c>
      <c r="R63" s="20">
        <f t="shared" si="5"/>
        <v>24.66</v>
      </c>
      <c r="S63" s="20">
        <f t="shared" si="5"/>
        <v>37.36</v>
      </c>
      <c r="T63" s="20">
        <f t="shared" si="5"/>
        <v>37.980000000000004</v>
      </c>
      <c r="U63" s="20">
        <f t="shared" si="5"/>
        <v>1.44</v>
      </c>
      <c r="V63" s="20">
        <v>0.33</v>
      </c>
      <c r="W63" s="20">
        <v>0.18</v>
      </c>
      <c r="X63" s="20">
        <v>-1</v>
      </c>
      <c r="Y63" s="20">
        <v>-1</v>
      </c>
      <c r="Z63" s="20">
        <v>-1</v>
      </c>
      <c r="AA63" s="20">
        <v>-1</v>
      </c>
      <c r="AB63" s="20">
        <v>-1</v>
      </c>
      <c r="AC63" s="20">
        <v>-1</v>
      </c>
      <c r="AD63" s="20">
        <v>1.1499999999999999</v>
      </c>
      <c r="AE63" s="20">
        <v>1.1499999999999999</v>
      </c>
      <c r="AF63" s="20">
        <v>-1</v>
      </c>
      <c r="AG63" s="20">
        <v>6.9999999999999994E-5</v>
      </c>
      <c r="AH63" s="20">
        <v>3.5000000000000003E-2</v>
      </c>
      <c r="AI63" s="20">
        <v>7.0000000000000007E-2</v>
      </c>
      <c r="AJ63" s="20">
        <v>0.2</v>
      </c>
      <c r="AK63" s="20">
        <v>1.0000000000000001E-7</v>
      </c>
      <c r="AL63" s="20">
        <v>0.6</v>
      </c>
      <c r="AM63" s="20">
        <v>0.2</v>
      </c>
      <c r="AN63" s="20">
        <v>10</v>
      </c>
      <c r="AO63" s="20">
        <v>50</v>
      </c>
      <c r="AP63" s="20">
        <v>10</v>
      </c>
      <c r="AQ63" s="20">
        <v>0.1</v>
      </c>
      <c r="AR63" s="20">
        <v>8</v>
      </c>
      <c r="AS63" s="20">
        <v>9.9999999999999991E-6</v>
      </c>
      <c r="AT63">
        <v>0.45800000000000002</v>
      </c>
    </row>
    <row r="64" spans="1:46" x14ac:dyDescent="0.25">
      <c r="A64" s="20" t="s">
        <v>329</v>
      </c>
      <c r="B64" s="20">
        <v>15</v>
      </c>
      <c r="C64" s="20" t="s">
        <v>363</v>
      </c>
      <c r="D64" s="20">
        <v>8.8999999999999999E-3</v>
      </c>
      <c r="E64" s="20">
        <v>-1</v>
      </c>
      <c r="F64" s="20">
        <v>-1</v>
      </c>
      <c r="G64" s="20">
        <v>0</v>
      </c>
      <c r="H64" s="20">
        <v>0</v>
      </c>
      <c r="I64" s="20">
        <v>0</v>
      </c>
      <c r="J64" s="20">
        <v>0</v>
      </c>
      <c r="K64" s="20">
        <v>5</v>
      </c>
      <c r="L64" s="20">
        <v>0</v>
      </c>
      <c r="M64" s="20">
        <v>0.5</v>
      </c>
      <c r="N64" s="20">
        <v>23</v>
      </c>
      <c r="O64" s="20">
        <v>400</v>
      </c>
      <c r="P64" s="20">
        <v>206000</v>
      </c>
      <c r="Q64" s="20">
        <v>0</v>
      </c>
      <c r="R64" s="20">
        <f t="shared" si="5"/>
        <v>19.64</v>
      </c>
      <c r="S64" s="20">
        <f t="shared" si="5"/>
        <v>38.54</v>
      </c>
      <c r="T64" s="20">
        <f t="shared" si="5"/>
        <v>41.82</v>
      </c>
      <c r="U64" s="20">
        <f t="shared" si="5"/>
        <v>1.18</v>
      </c>
      <c r="V64" s="20">
        <v>0.33</v>
      </c>
      <c r="W64" s="20">
        <v>0.18</v>
      </c>
      <c r="X64" s="20">
        <v>-1</v>
      </c>
      <c r="Y64" s="20">
        <v>-1</v>
      </c>
      <c r="Z64" s="20">
        <v>-1</v>
      </c>
      <c r="AA64" s="20">
        <v>-1</v>
      </c>
      <c r="AB64" s="20">
        <v>-1</v>
      </c>
      <c r="AC64" s="20">
        <v>-1</v>
      </c>
      <c r="AD64" s="20">
        <v>1.1499999999999999</v>
      </c>
      <c r="AE64" s="20">
        <v>1.1499999999999999</v>
      </c>
      <c r="AF64" s="20">
        <v>-1</v>
      </c>
      <c r="AG64" s="20">
        <v>6.9999999999999994E-5</v>
      </c>
      <c r="AH64" s="20">
        <v>3.5000000000000003E-2</v>
      </c>
      <c r="AI64" s="20">
        <v>7.0000000000000007E-2</v>
      </c>
      <c r="AJ64" s="20">
        <v>0.2</v>
      </c>
      <c r="AK64" s="20">
        <v>1.0000000000000001E-7</v>
      </c>
      <c r="AL64" s="20">
        <v>0.6</v>
      </c>
      <c r="AM64" s="20">
        <v>0.2</v>
      </c>
      <c r="AN64" s="20">
        <v>10</v>
      </c>
      <c r="AO64" s="20">
        <v>50</v>
      </c>
      <c r="AP64" s="20">
        <v>10</v>
      </c>
      <c r="AQ64" s="20">
        <v>0.1</v>
      </c>
      <c r="AR64" s="20">
        <v>8</v>
      </c>
      <c r="AS64" s="20">
        <v>9.9999999999999991E-6</v>
      </c>
      <c r="AT64">
        <v>0.55300000000000005</v>
      </c>
    </row>
    <row r="65" spans="1:46" x14ac:dyDescent="0.25">
      <c r="A65" s="20" t="s">
        <v>329</v>
      </c>
      <c r="B65" s="20">
        <v>30</v>
      </c>
      <c r="C65" s="20" t="s">
        <v>363</v>
      </c>
      <c r="D65" s="20">
        <v>6.7000000000000002E-3</v>
      </c>
      <c r="E65" s="20">
        <v>-1</v>
      </c>
      <c r="F65" s="20">
        <v>-1</v>
      </c>
      <c r="G65" s="20">
        <v>0</v>
      </c>
      <c r="H65" s="20">
        <v>0</v>
      </c>
      <c r="I65" s="20">
        <v>0</v>
      </c>
      <c r="J65" s="20">
        <v>0</v>
      </c>
      <c r="K65" s="20">
        <v>5</v>
      </c>
      <c r="L65" s="20">
        <v>0</v>
      </c>
      <c r="M65" s="20">
        <v>0.5</v>
      </c>
      <c r="N65" s="20">
        <v>23</v>
      </c>
      <c r="O65" s="20">
        <v>400</v>
      </c>
      <c r="P65" s="20">
        <v>206000</v>
      </c>
      <c r="Q65" s="20">
        <v>0</v>
      </c>
      <c r="R65" s="20">
        <f t="shared" si="5"/>
        <v>24.66</v>
      </c>
      <c r="S65" s="20">
        <f t="shared" si="5"/>
        <v>37.36</v>
      </c>
      <c r="T65" s="20">
        <f t="shared" si="5"/>
        <v>37.980000000000004</v>
      </c>
      <c r="U65" s="20">
        <f t="shared" si="5"/>
        <v>1.38</v>
      </c>
      <c r="V65" s="20">
        <v>0.33</v>
      </c>
      <c r="W65" s="20">
        <v>0.18</v>
      </c>
      <c r="X65" s="20">
        <v>-1</v>
      </c>
      <c r="Y65" s="20">
        <v>-1</v>
      </c>
      <c r="Z65" s="20">
        <v>-1</v>
      </c>
      <c r="AA65" s="20">
        <v>-1</v>
      </c>
      <c r="AB65" s="20">
        <v>-1</v>
      </c>
      <c r="AC65" s="20">
        <v>-1</v>
      </c>
      <c r="AD65" s="20">
        <v>1.1499999999999999</v>
      </c>
      <c r="AE65" s="20">
        <v>1.1499999999999999</v>
      </c>
      <c r="AF65" s="20">
        <v>-1</v>
      </c>
      <c r="AG65" s="20">
        <v>6.9999999999999994E-5</v>
      </c>
      <c r="AH65" s="20">
        <v>3.5000000000000003E-2</v>
      </c>
      <c r="AI65" s="20">
        <v>7.0000000000000007E-2</v>
      </c>
      <c r="AJ65" s="20">
        <v>0.2</v>
      </c>
      <c r="AK65" s="20">
        <v>1.0000000000000001E-7</v>
      </c>
      <c r="AL65" s="20">
        <v>0.6</v>
      </c>
      <c r="AM65" s="20">
        <v>0.2</v>
      </c>
      <c r="AN65" s="20">
        <v>10</v>
      </c>
      <c r="AO65" s="20">
        <v>50</v>
      </c>
      <c r="AP65" s="20">
        <v>10</v>
      </c>
      <c r="AQ65" s="20">
        <v>0.1</v>
      </c>
      <c r="AR65" s="20">
        <v>8</v>
      </c>
      <c r="AS65" s="20">
        <v>9.9999999999999991E-6</v>
      </c>
      <c r="AT65">
        <v>0.52500000000000002</v>
      </c>
    </row>
    <row r="66" spans="1:46" x14ac:dyDescent="0.25">
      <c r="A66" s="20" t="s">
        <v>329</v>
      </c>
      <c r="B66" s="20">
        <v>45</v>
      </c>
      <c r="C66" s="20" t="s">
        <v>363</v>
      </c>
      <c r="D66" s="20">
        <v>3.4399999999999999E-3</v>
      </c>
      <c r="E66" s="20">
        <v>-1</v>
      </c>
      <c r="F66" s="20">
        <v>-1</v>
      </c>
      <c r="G66" s="20">
        <v>0</v>
      </c>
      <c r="H66" s="20">
        <v>0</v>
      </c>
      <c r="I66" s="20">
        <v>0</v>
      </c>
      <c r="J66" s="20">
        <v>0</v>
      </c>
      <c r="K66" s="20">
        <v>5</v>
      </c>
      <c r="L66" s="20">
        <v>0</v>
      </c>
      <c r="M66" s="20">
        <v>0.5</v>
      </c>
      <c r="N66" s="20">
        <v>23</v>
      </c>
      <c r="O66" s="20">
        <v>400</v>
      </c>
      <c r="P66" s="20">
        <v>206000</v>
      </c>
      <c r="Q66" s="20">
        <v>0</v>
      </c>
      <c r="R66" s="20">
        <f t="shared" si="5"/>
        <v>24.66</v>
      </c>
      <c r="S66" s="20">
        <f t="shared" si="5"/>
        <v>37.36</v>
      </c>
      <c r="T66" s="20">
        <f t="shared" si="5"/>
        <v>37.980000000000004</v>
      </c>
      <c r="U66" s="20">
        <f t="shared" si="5"/>
        <v>1.44</v>
      </c>
      <c r="V66" s="20">
        <v>0.33</v>
      </c>
      <c r="W66" s="20">
        <v>0.18</v>
      </c>
      <c r="X66" s="20">
        <v>-1</v>
      </c>
      <c r="Y66" s="20">
        <v>-1</v>
      </c>
      <c r="Z66" s="20">
        <v>-1</v>
      </c>
      <c r="AA66" s="20">
        <v>-1</v>
      </c>
      <c r="AB66" s="20">
        <v>-1</v>
      </c>
      <c r="AC66" s="20">
        <v>-1</v>
      </c>
      <c r="AD66" s="20">
        <v>1.1499999999999999</v>
      </c>
      <c r="AE66" s="20">
        <v>1.1499999999999999</v>
      </c>
      <c r="AF66" s="20">
        <v>-1</v>
      </c>
      <c r="AG66" s="20">
        <v>6.9999999999999994E-5</v>
      </c>
      <c r="AH66" s="20">
        <v>3.5000000000000003E-2</v>
      </c>
      <c r="AI66" s="20">
        <v>7.0000000000000007E-2</v>
      </c>
      <c r="AJ66" s="20">
        <v>0.2</v>
      </c>
      <c r="AK66" s="20">
        <v>1.0000000000000001E-7</v>
      </c>
      <c r="AL66" s="20">
        <v>0.6</v>
      </c>
      <c r="AM66" s="20">
        <v>0.2</v>
      </c>
      <c r="AN66" s="20">
        <v>10</v>
      </c>
      <c r="AO66" s="20">
        <v>50</v>
      </c>
      <c r="AP66" s="20">
        <v>10</v>
      </c>
      <c r="AQ66" s="20">
        <v>0.1</v>
      </c>
      <c r="AR66" s="20">
        <v>8</v>
      </c>
      <c r="AS66" s="20">
        <v>9.9999999999999991E-6</v>
      </c>
      <c r="AT66">
        <v>0.45800000000000002</v>
      </c>
    </row>
    <row r="67" spans="1:46" x14ac:dyDescent="0.25">
      <c r="A67" s="20" t="s">
        <v>332</v>
      </c>
      <c r="B67" s="20">
        <v>15</v>
      </c>
      <c r="C67" s="20" t="s">
        <v>363</v>
      </c>
      <c r="D67" s="20">
        <v>9.7999999999999997E-3</v>
      </c>
      <c r="E67" s="20">
        <v>-1</v>
      </c>
      <c r="F67" s="20">
        <v>-1</v>
      </c>
      <c r="G67" s="20">
        <v>0</v>
      </c>
      <c r="H67" s="20">
        <v>0</v>
      </c>
      <c r="I67" s="20">
        <v>0</v>
      </c>
      <c r="J67" s="20">
        <v>0</v>
      </c>
      <c r="K67" s="20">
        <v>5</v>
      </c>
      <c r="L67" s="20">
        <v>0</v>
      </c>
      <c r="M67" s="20">
        <v>0.5</v>
      </c>
      <c r="N67" s="20">
        <v>23</v>
      </c>
      <c r="O67" s="20">
        <v>400</v>
      </c>
      <c r="P67" s="20">
        <v>206000</v>
      </c>
      <c r="Q67" s="20">
        <v>0</v>
      </c>
      <c r="R67" s="20">
        <f t="shared" si="5"/>
        <v>19.64</v>
      </c>
      <c r="S67" s="20">
        <f t="shared" si="5"/>
        <v>38.54</v>
      </c>
      <c r="T67" s="20">
        <f t="shared" si="5"/>
        <v>41.82</v>
      </c>
      <c r="U67" s="20">
        <f t="shared" si="5"/>
        <v>1.18</v>
      </c>
      <c r="V67" s="20">
        <v>0.33</v>
      </c>
      <c r="W67" s="20">
        <v>0.18</v>
      </c>
      <c r="X67" s="20">
        <v>-1</v>
      </c>
      <c r="Y67" s="20">
        <v>-1</v>
      </c>
      <c r="Z67" s="20">
        <v>-1</v>
      </c>
      <c r="AA67" s="20">
        <v>-1</v>
      </c>
      <c r="AB67" s="20">
        <v>-1</v>
      </c>
      <c r="AC67" s="20">
        <v>-1</v>
      </c>
      <c r="AD67" s="20">
        <v>1.1499999999999999</v>
      </c>
      <c r="AE67" s="20">
        <v>1.1499999999999999</v>
      </c>
      <c r="AF67" s="20">
        <v>-1</v>
      </c>
      <c r="AG67" s="20">
        <v>6.9999999999999994E-5</v>
      </c>
      <c r="AH67" s="20">
        <v>3.5000000000000003E-2</v>
      </c>
      <c r="AI67" s="20">
        <v>7.0000000000000007E-2</v>
      </c>
      <c r="AJ67" s="20">
        <v>0.2</v>
      </c>
      <c r="AK67" s="20">
        <v>1.0000000000000001E-7</v>
      </c>
      <c r="AL67" s="20">
        <v>0.6</v>
      </c>
      <c r="AM67" s="20">
        <v>0.2</v>
      </c>
      <c r="AN67" s="20">
        <v>10</v>
      </c>
      <c r="AO67" s="20">
        <v>50</v>
      </c>
      <c r="AP67" s="20">
        <v>10</v>
      </c>
      <c r="AQ67" s="20">
        <v>0.1</v>
      </c>
      <c r="AR67" s="20">
        <v>8</v>
      </c>
      <c r="AS67" s="20">
        <v>9.9999999999999991E-6</v>
      </c>
      <c r="AT67">
        <v>0.55300000000000005</v>
      </c>
    </row>
    <row r="68" spans="1:46" x14ac:dyDescent="0.25">
      <c r="A68" s="20" t="s">
        <v>332</v>
      </c>
      <c r="B68" s="20">
        <v>30</v>
      </c>
      <c r="C68" s="20" t="s">
        <v>363</v>
      </c>
      <c r="D68" s="20">
        <v>5.8500000000000002E-3</v>
      </c>
      <c r="E68" s="20">
        <v>-1</v>
      </c>
      <c r="F68" s="20">
        <v>-1</v>
      </c>
      <c r="G68" s="20">
        <v>0</v>
      </c>
      <c r="H68" s="20">
        <v>0</v>
      </c>
      <c r="I68" s="20">
        <v>0</v>
      </c>
      <c r="J68" s="20">
        <v>0</v>
      </c>
      <c r="K68" s="20">
        <v>5</v>
      </c>
      <c r="L68" s="20">
        <v>0</v>
      </c>
      <c r="M68" s="20">
        <v>0.5</v>
      </c>
      <c r="N68" s="20">
        <v>23</v>
      </c>
      <c r="O68" s="20">
        <v>400</v>
      </c>
      <c r="P68" s="20">
        <v>206000</v>
      </c>
      <c r="Q68" s="20">
        <v>0</v>
      </c>
      <c r="R68" s="20">
        <f t="shared" si="5"/>
        <v>24.66</v>
      </c>
      <c r="S68" s="20">
        <f t="shared" si="5"/>
        <v>37.36</v>
      </c>
      <c r="T68" s="20">
        <f t="shared" si="5"/>
        <v>37.980000000000004</v>
      </c>
      <c r="U68" s="20">
        <f t="shared" si="5"/>
        <v>1.38</v>
      </c>
      <c r="V68" s="20">
        <v>0.33</v>
      </c>
      <c r="W68" s="20">
        <v>0.18</v>
      </c>
      <c r="X68" s="20">
        <v>-1</v>
      </c>
      <c r="Y68" s="20">
        <v>-1</v>
      </c>
      <c r="Z68" s="20">
        <v>-1</v>
      </c>
      <c r="AA68" s="20">
        <v>-1</v>
      </c>
      <c r="AB68" s="20">
        <v>-1</v>
      </c>
      <c r="AC68" s="20">
        <v>-1</v>
      </c>
      <c r="AD68" s="20">
        <v>1.1499999999999999</v>
      </c>
      <c r="AE68" s="20">
        <v>1.1499999999999999</v>
      </c>
      <c r="AF68" s="20">
        <v>-1</v>
      </c>
      <c r="AG68" s="20">
        <v>6.9999999999999994E-5</v>
      </c>
      <c r="AH68" s="20">
        <v>3.5000000000000003E-2</v>
      </c>
      <c r="AI68" s="20">
        <v>7.0000000000000007E-2</v>
      </c>
      <c r="AJ68" s="20">
        <v>0.2</v>
      </c>
      <c r="AK68" s="20">
        <v>1.0000000000000001E-7</v>
      </c>
      <c r="AL68" s="20">
        <v>0.6</v>
      </c>
      <c r="AM68" s="20">
        <v>0.2</v>
      </c>
      <c r="AN68" s="20">
        <v>10</v>
      </c>
      <c r="AO68" s="20">
        <v>50</v>
      </c>
      <c r="AP68" s="20">
        <v>10</v>
      </c>
      <c r="AQ68" s="20">
        <v>0.1</v>
      </c>
      <c r="AR68" s="20">
        <v>8</v>
      </c>
      <c r="AS68" s="20">
        <v>9.9999999999999991E-6</v>
      </c>
      <c r="AT68">
        <v>0.52500000000000002</v>
      </c>
    </row>
    <row r="69" spans="1:46" x14ac:dyDescent="0.25">
      <c r="A69" s="20" t="s">
        <v>332</v>
      </c>
      <c r="B69" s="20">
        <v>45</v>
      </c>
      <c r="C69" s="20" t="s">
        <v>363</v>
      </c>
      <c r="D69" s="20">
        <v>3.5999999999999999E-3</v>
      </c>
      <c r="E69" s="20">
        <v>-1</v>
      </c>
      <c r="F69" s="20">
        <v>-1</v>
      </c>
      <c r="G69" s="20">
        <v>0</v>
      </c>
      <c r="H69" s="20">
        <v>0</v>
      </c>
      <c r="I69" s="20">
        <v>0</v>
      </c>
      <c r="J69" s="20">
        <v>0</v>
      </c>
      <c r="K69" s="20">
        <v>5</v>
      </c>
      <c r="L69" s="20">
        <v>0</v>
      </c>
      <c r="M69" s="20">
        <v>0.5</v>
      </c>
      <c r="N69" s="20">
        <v>23</v>
      </c>
      <c r="O69" s="20">
        <v>400</v>
      </c>
      <c r="P69" s="20">
        <v>206000</v>
      </c>
      <c r="Q69" s="20">
        <v>0</v>
      </c>
      <c r="R69" s="20">
        <f t="shared" si="5"/>
        <v>24.66</v>
      </c>
      <c r="S69" s="20">
        <f t="shared" si="5"/>
        <v>37.36</v>
      </c>
      <c r="T69" s="20">
        <f t="shared" si="5"/>
        <v>37.980000000000004</v>
      </c>
      <c r="U69" s="20">
        <f t="shared" si="5"/>
        <v>1.44</v>
      </c>
      <c r="V69" s="20">
        <v>0.33</v>
      </c>
      <c r="W69" s="20">
        <v>0.18</v>
      </c>
      <c r="X69" s="20">
        <v>-1</v>
      </c>
      <c r="Y69" s="20">
        <v>-1</v>
      </c>
      <c r="Z69" s="20">
        <v>-1</v>
      </c>
      <c r="AA69" s="20">
        <v>-1</v>
      </c>
      <c r="AB69" s="20">
        <v>-1</v>
      </c>
      <c r="AC69" s="20">
        <v>-1</v>
      </c>
      <c r="AD69" s="20">
        <v>1.1499999999999999</v>
      </c>
      <c r="AE69" s="20">
        <v>1.1499999999999999</v>
      </c>
      <c r="AF69" s="20">
        <v>-1</v>
      </c>
      <c r="AG69" s="20">
        <v>6.9999999999999994E-5</v>
      </c>
      <c r="AH69" s="20">
        <v>3.5000000000000003E-2</v>
      </c>
      <c r="AI69" s="20">
        <v>7.0000000000000007E-2</v>
      </c>
      <c r="AJ69" s="20">
        <v>0.2</v>
      </c>
      <c r="AK69" s="20">
        <v>1.0000000000000001E-7</v>
      </c>
      <c r="AL69" s="20">
        <v>0.6</v>
      </c>
      <c r="AM69" s="20">
        <v>0.2</v>
      </c>
      <c r="AN69" s="20">
        <v>10</v>
      </c>
      <c r="AO69" s="20">
        <v>50</v>
      </c>
      <c r="AP69" s="20">
        <v>10</v>
      </c>
      <c r="AQ69" s="20">
        <v>0.1</v>
      </c>
      <c r="AR69" s="20">
        <v>8</v>
      </c>
      <c r="AS69" s="20">
        <v>9.9999999999999991E-6</v>
      </c>
      <c r="AT69">
        <v>0.45800000000000002</v>
      </c>
    </row>
    <row r="70" spans="1:46" x14ac:dyDescent="0.25">
      <c r="A70" s="20" t="s">
        <v>335</v>
      </c>
      <c r="B70" s="20">
        <v>15</v>
      </c>
      <c r="C70" s="20" t="s">
        <v>363</v>
      </c>
      <c r="D70" s="20">
        <v>9.5999999999999992E-3</v>
      </c>
      <c r="E70" s="20">
        <v>-1</v>
      </c>
      <c r="F70" s="20">
        <v>-1</v>
      </c>
      <c r="G70" s="20">
        <v>0</v>
      </c>
      <c r="H70" s="20">
        <v>0</v>
      </c>
      <c r="I70" s="20">
        <v>0</v>
      </c>
      <c r="J70" s="20">
        <v>0</v>
      </c>
      <c r="K70" s="20">
        <v>5</v>
      </c>
      <c r="L70" s="20">
        <v>0</v>
      </c>
      <c r="M70" s="20">
        <v>0.5</v>
      </c>
      <c r="N70" s="20">
        <v>23</v>
      </c>
      <c r="O70" s="20">
        <v>400</v>
      </c>
      <c r="P70" s="20">
        <v>206000</v>
      </c>
      <c r="Q70" s="20">
        <v>0</v>
      </c>
      <c r="R70" s="20">
        <f t="shared" si="5"/>
        <v>19.64</v>
      </c>
      <c r="S70" s="20">
        <f t="shared" si="5"/>
        <v>38.54</v>
      </c>
      <c r="T70" s="20">
        <f t="shared" si="5"/>
        <v>41.82</v>
      </c>
      <c r="U70" s="20">
        <f t="shared" si="5"/>
        <v>1.18</v>
      </c>
      <c r="V70" s="20">
        <v>0.33</v>
      </c>
      <c r="W70" s="20">
        <v>0.18</v>
      </c>
      <c r="X70" s="20">
        <v>-1</v>
      </c>
      <c r="Y70" s="20">
        <v>-1</v>
      </c>
      <c r="Z70" s="20">
        <v>-1</v>
      </c>
      <c r="AA70" s="20">
        <v>-1</v>
      </c>
      <c r="AB70" s="20">
        <v>-1</v>
      </c>
      <c r="AC70" s="20">
        <v>-1</v>
      </c>
      <c r="AD70" s="20">
        <v>1.1499999999999999</v>
      </c>
      <c r="AE70" s="20">
        <v>1.1499999999999999</v>
      </c>
      <c r="AF70" s="20">
        <v>-1</v>
      </c>
      <c r="AG70" s="20">
        <v>6.9999999999999994E-5</v>
      </c>
      <c r="AH70" s="20">
        <v>3.5000000000000003E-2</v>
      </c>
      <c r="AI70" s="20">
        <v>7.0000000000000007E-2</v>
      </c>
      <c r="AJ70" s="20">
        <v>0.2</v>
      </c>
      <c r="AK70" s="20">
        <v>1.0000000000000001E-7</v>
      </c>
      <c r="AL70" s="20">
        <v>0.6</v>
      </c>
      <c r="AM70" s="20">
        <v>0.2</v>
      </c>
      <c r="AN70" s="20">
        <v>10</v>
      </c>
      <c r="AO70" s="20">
        <v>50</v>
      </c>
      <c r="AP70" s="20">
        <v>10</v>
      </c>
      <c r="AQ70" s="20">
        <v>0.1</v>
      </c>
      <c r="AR70" s="20">
        <v>8</v>
      </c>
      <c r="AS70" s="20">
        <v>9.9999999999999991E-6</v>
      </c>
      <c r="AT70">
        <v>0.55300000000000005</v>
      </c>
    </row>
    <row r="71" spans="1:46" x14ac:dyDescent="0.25">
      <c r="A71" s="20" t="s">
        <v>335</v>
      </c>
      <c r="B71" s="20">
        <v>30</v>
      </c>
      <c r="C71" s="20" t="s">
        <v>363</v>
      </c>
      <c r="D71" s="20">
        <v>6.0000000000000001E-3</v>
      </c>
      <c r="E71" s="20">
        <v>-1</v>
      </c>
      <c r="F71" s="20">
        <v>-1</v>
      </c>
      <c r="G71" s="20">
        <v>0</v>
      </c>
      <c r="H71" s="20">
        <v>0</v>
      </c>
      <c r="I71" s="20">
        <v>0</v>
      </c>
      <c r="J71" s="20">
        <v>0</v>
      </c>
      <c r="K71" s="20">
        <v>5</v>
      </c>
      <c r="L71" s="20">
        <v>0</v>
      </c>
      <c r="M71" s="20">
        <v>0.5</v>
      </c>
      <c r="N71" s="20">
        <v>23</v>
      </c>
      <c r="O71" s="20">
        <v>400</v>
      </c>
      <c r="P71" s="20">
        <v>206000</v>
      </c>
      <c r="Q71" s="20">
        <v>0</v>
      </c>
      <c r="R71" s="20">
        <f t="shared" si="5"/>
        <v>24.66</v>
      </c>
      <c r="S71" s="20">
        <f t="shared" si="5"/>
        <v>37.36</v>
      </c>
      <c r="T71" s="20">
        <f t="shared" si="5"/>
        <v>37.980000000000004</v>
      </c>
      <c r="U71" s="20">
        <f t="shared" si="5"/>
        <v>1.38</v>
      </c>
      <c r="V71" s="20">
        <v>0.33</v>
      </c>
      <c r="W71" s="20">
        <v>0.18</v>
      </c>
      <c r="X71" s="20">
        <v>-1</v>
      </c>
      <c r="Y71" s="20">
        <v>-1</v>
      </c>
      <c r="Z71" s="20">
        <v>-1</v>
      </c>
      <c r="AA71" s="20">
        <v>-1</v>
      </c>
      <c r="AB71" s="20">
        <v>-1</v>
      </c>
      <c r="AC71" s="20">
        <v>-1</v>
      </c>
      <c r="AD71" s="20">
        <v>1.1499999999999999</v>
      </c>
      <c r="AE71" s="20">
        <v>1.1499999999999999</v>
      </c>
      <c r="AF71" s="20">
        <v>-1</v>
      </c>
      <c r="AG71" s="20">
        <v>6.9999999999999994E-5</v>
      </c>
      <c r="AH71" s="20">
        <v>3.5000000000000003E-2</v>
      </c>
      <c r="AI71" s="20">
        <v>7.0000000000000007E-2</v>
      </c>
      <c r="AJ71" s="20">
        <v>0.2</v>
      </c>
      <c r="AK71" s="20">
        <v>1.0000000000000001E-7</v>
      </c>
      <c r="AL71" s="20">
        <v>0.6</v>
      </c>
      <c r="AM71" s="20">
        <v>0.2</v>
      </c>
      <c r="AN71" s="20">
        <v>10</v>
      </c>
      <c r="AO71" s="20">
        <v>50</v>
      </c>
      <c r="AP71" s="20">
        <v>10</v>
      </c>
      <c r="AQ71" s="20">
        <v>0.1</v>
      </c>
      <c r="AR71" s="20">
        <v>8</v>
      </c>
      <c r="AS71" s="20">
        <v>9.9999999999999991E-6</v>
      </c>
      <c r="AT71">
        <v>0.52500000000000002</v>
      </c>
    </row>
    <row r="72" spans="1:46" x14ac:dyDescent="0.25">
      <c r="A72" s="20" t="s">
        <v>335</v>
      </c>
      <c r="B72" s="20">
        <v>45</v>
      </c>
      <c r="C72" s="20" t="s">
        <v>363</v>
      </c>
      <c r="D72" s="20">
        <v>3.96E-3</v>
      </c>
      <c r="E72" s="20">
        <v>-1</v>
      </c>
      <c r="F72" s="20">
        <v>-1</v>
      </c>
      <c r="G72" s="20">
        <v>0</v>
      </c>
      <c r="H72" s="20">
        <v>0</v>
      </c>
      <c r="I72" s="20">
        <v>0</v>
      </c>
      <c r="J72" s="20">
        <v>0</v>
      </c>
      <c r="K72" s="20">
        <v>5</v>
      </c>
      <c r="L72" s="20">
        <v>0</v>
      </c>
      <c r="M72" s="20">
        <v>0.5</v>
      </c>
      <c r="N72" s="20">
        <v>23</v>
      </c>
      <c r="O72" s="20">
        <v>400</v>
      </c>
      <c r="P72" s="20">
        <v>206000</v>
      </c>
      <c r="Q72" s="20">
        <v>0</v>
      </c>
      <c r="R72" s="20">
        <f t="shared" si="5"/>
        <v>24.66</v>
      </c>
      <c r="S72" s="20">
        <f t="shared" si="5"/>
        <v>37.36</v>
      </c>
      <c r="T72" s="20">
        <f t="shared" si="5"/>
        <v>37.980000000000004</v>
      </c>
      <c r="U72" s="20">
        <f t="shared" si="5"/>
        <v>1.44</v>
      </c>
      <c r="V72" s="20">
        <v>0.33</v>
      </c>
      <c r="W72" s="20">
        <v>0.18</v>
      </c>
      <c r="X72" s="20">
        <v>-1</v>
      </c>
      <c r="Y72" s="20">
        <v>-1</v>
      </c>
      <c r="Z72" s="20">
        <v>-1</v>
      </c>
      <c r="AA72" s="20">
        <v>-1</v>
      </c>
      <c r="AB72" s="20">
        <v>-1</v>
      </c>
      <c r="AC72" s="20">
        <v>-1</v>
      </c>
      <c r="AD72" s="20">
        <v>1.1499999999999999</v>
      </c>
      <c r="AE72" s="20">
        <v>1.1499999999999999</v>
      </c>
      <c r="AF72" s="20">
        <v>-1</v>
      </c>
      <c r="AG72" s="20">
        <v>6.9999999999999994E-5</v>
      </c>
      <c r="AH72" s="20">
        <v>3.5000000000000003E-2</v>
      </c>
      <c r="AI72" s="20">
        <v>7.0000000000000007E-2</v>
      </c>
      <c r="AJ72" s="20">
        <v>0.2</v>
      </c>
      <c r="AK72" s="20">
        <v>1.0000000000000001E-7</v>
      </c>
      <c r="AL72" s="20">
        <v>0.6</v>
      </c>
      <c r="AM72" s="20">
        <v>0.2</v>
      </c>
      <c r="AN72" s="20">
        <v>10</v>
      </c>
      <c r="AO72" s="20">
        <v>50</v>
      </c>
      <c r="AP72" s="20">
        <v>10</v>
      </c>
      <c r="AQ72" s="20">
        <v>0.1</v>
      </c>
      <c r="AR72" s="20">
        <v>8</v>
      </c>
      <c r="AS72" s="20">
        <v>9.9999999999999991E-6</v>
      </c>
      <c r="AT72">
        <v>0.45800000000000002</v>
      </c>
    </row>
    <row r="73" spans="1:46" x14ac:dyDescent="0.25">
      <c r="A73" s="20" t="s">
        <v>338</v>
      </c>
      <c r="B73" s="20">
        <v>15</v>
      </c>
      <c r="C73" s="20" t="s">
        <v>363</v>
      </c>
      <c r="D73" s="20">
        <v>9.58E-3</v>
      </c>
      <c r="E73" s="20">
        <v>-1</v>
      </c>
      <c r="F73" s="20">
        <v>-1</v>
      </c>
      <c r="G73" s="20">
        <v>0</v>
      </c>
      <c r="H73" s="20">
        <v>0</v>
      </c>
      <c r="I73" s="20">
        <v>0</v>
      </c>
      <c r="J73" s="20">
        <v>0</v>
      </c>
      <c r="K73" s="20">
        <v>5</v>
      </c>
      <c r="L73" s="20">
        <v>0</v>
      </c>
      <c r="M73" s="20">
        <v>0.5</v>
      </c>
      <c r="N73" s="20">
        <v>23</v>
      </c>
      <c r="O73" s="20">
        <v>400</v>
      </c>
      <c r="P73" s="20">
        <v>206000</v>
      </c>
      <c r="Q73" s="20">
        <v>0</v>
      </c>
      <c r="R73" s="20">
        <f t="shared" si="5"/>
        <v>19.64</v>
      </c>
      <c r="S73" s="20">
        <f t="shared" si="5"/>
        <v>38.54</v>
      </c>
      <c r="T73" s="20">
        <f t="shared" si="5"/>
        <v>41.82</v>
      </c>
      <c r="U73" s="20">
        <f t="shared" si="5"/>
        <v>1.18</v>
      </c>
      <c r="V73" s="20">
        <v>0.33</v>
      </c>
      <c r="W73" s="20">
        <v>0.18</v>
      </c>
      <c r="X73" s="20">
        <v>-1</v>
      </c>
      <c r="Y73" s="20">
        <v>-1</v>
      </c>
      <c r="Z73" s="20">
        <v>-1</v>
      </c>
      <c r="AA73" s="20">
        <v>-1</v>
      </c>
      <c r="AB73" s="20">
        <v>-1</v>
      </c>
      <c r="AC73" s="20">
        <v>-1</v>
      </c>
      <c r="AD73" s="20">
        <v>1.1499999999999999</v>
      </c>
      <c r="AE73" s="20">
        <v>1.1499999999999999</v>
      </c>
      <c r="AF73" s="20">
        <v>-1</v>
      </c>
      <c r="AG73" s="20">
        <v>6.9999999999999994E-5</v>
      </c>
      <c r="AH73" s="20">
        <v>3.5000000000000003E-2</v>
      </c>
      <c r="AI73" s="20">
        <v>7.0000000000000007E-2</v>
      </c>
      <c r="AJ73" s="20">
        <v>0.2</v>
      </c>
      <c r="AK73" s="20">
        <v>1.0000000000000001E-7</v>
      </c>
      <c r="AL73" s="20">
        <v>0.6</v>
      </c>
      <c r="AM73" s="20">
        <v>0.2</v>
      </c>
      <c r="AN73" s="20">
        <v>10</v>
      </c>
      <c r="AO73" s="20">
        <v>50</v>
      </c>
      <c r="AP73" s="20">
        <v>10</v>
      </c>
      <c r="AQ73" s="20">
        <v>0.1</v>
      </c>
      <c r="AR73" s="20">
        <v>8</v>
      </c>
      <c r="AS73" s="20">
        <v>9.9999999999999991E-6</v>
      </c>
      <c r="AT73">
        <v>0.55300000000000005</v>
      </c>
    </row>
    <row r="74" spans="1:46" x14ac:dyDescent="0.25">
      <c r="A74" s="20" t="s">
        <v>338</v>
      </c>
      <c r="B74" s="20">
        <v>30</v>
      </c>
      <c r="C74" s="20" t="s">
        <v>363</v>
      </c>
      <c r="D74" s="20">
        <v>6.1599999999999997E-3</v>
      </c>
      <c r="E74" s="20">
        <v>-1</v>
      </c>
      <c r="F74" s="20">
        <v>-1</v>
      </c>
      <c r="G74" s="20">
        <v>0</v>
      </c>
      <c r="H74" s="20">
        <v>0</v>
      </c>
      <c r="I74" s="20">
        <v>0</v>
      </c>
      <c r="J74" s="20">
        <v>0</v>
      </c>
      <c r="K74" s="20">
        <v>5</v>
      </c>
      <c r="L74" s="20">
        <v>0</v>
      </c>
      <c r="M74" s="20">
        <v>0.5</v>
      </c>
      <c r="N74" s="20">
        <v>23</v>
      </c>
      <c r="O74" s="20">
        <v>400</v>
      </c>
      <c r="P74" s="20">
        <v>206000</v>
      </c>
      <c r="Q74" s="20">
        <v>0</v>
      </c>
      <c r="R74" s="20">
        <f t="shared" si="5"/>
        <v>24.66</v>
      </c>
      <c r="S74" s="20">
        <f t="shared" si="5"/>
        <v>37.36</v>
      </c>
      <c r="T74" s="20">
        <f t="shared" si="5"/>
        <v>37.980000000000004</v>
      </c>
      <c r="U74" s="20">
        <f t="shared" si="5"/>
        <v>1.38</v>
      </c>
      <c r="V74" s="20">
        <v>0.33</v>
      </c>
      <c r="W74" s="20">
        <v>0.18</v>
      </c>
      <c r="X74" s="20">
        <v>-1</v>
      </c>
      <c r="Y74" s="20">
        <v>-1</v>
      </c>
      <c r="Z74" s="20">
        <v>-1</v>
      </c>
      <c r="AA74" s="20">
        <v>-1</v>
      </c>
      <c r="AB74" s="20">
        <v>-1</v>
      </c>
      <c r="AC74" s="20">
        <v>-1</v>
      </c>
      <c r="AD74" s="20">
        <v>1.1499999999999999</v>
      </c>
      <c r="AE74" s="20">
        <v>1.1499999999999999</v>
      </c>
      <c r="AF74" s="20">
        <v>-1</v>
      </c>
      <c r="AG74" s="20">
        <v>6.9999999999999994E-5</v>
      </c>
      <c r="AH74" s="20">
        <v>3.5000000000000003E-2</v>
      </c>
      <c r="AI74" s="20">
        <v>7.0000000000000007E-2</v>
      </c>
      <c r="AJ74" s="20">
        <v>0.2</v>
      </c>
      <c r="AK74" s="20">
        <v>1.0000000000000001E-7</v>
      </c>
      <c r="AL74" s="20">
        <v>0.6</v>
      </c>
      <c r="AM74" s="20">
        <v>0.2</v>
      </c>
      <c r="AN74" s="20">
        <v>10</v>
      </c>
      <c r="AO74" s="20">
        <v>50</v>
      </c>
      <c r="AP74" s="20">
        <v>10</v>
      </c>
      <c r="AQ74" s="20">
        <v>0.1</v>
      </c>
      <c r="AR74" s="20">
        <v>8</v>
      </c>
      <c r="AS74" s="20">
        <v>9.9999999999999991E-6</v>
      </c>
      <c r="AT74">
        <v>0.52500000000000002</v>
      </c>
    </row>
    <row r="75" spans="1:46" x14ac:dyDescent="0.25">
      <c r="A75" s="20" t="s">
        <v>338</v>
      </c>
      <c r="B75" s="20">
        <v>45</v>
      </c>
      <c r="C75" s="20" t="s">
        <v>363</v>
      </c>
      <c r="D75" s="20">
        <v>3.3500000000000001E-3</v>
      </c>
      <c r="E75" s="20">
        <v>-1</v>
      </c>
      <c r="F75" s="20">
        <v>-1</v>
      </c>
      <c r="G75" s="20">
        <v>0</v>
      </c>
      <c r="H75" s="20">
        <v>0</v>
      </c>
      <c r="I75" s="20">
        <v>0</v>
      </c>
      <c r="J75" s="20">
        <v>0</v>
      </c>
      <c r="K75" s="20">
        <v>5</v>
      </c>
      <c r="L75" s="20">
        <v>0</v>
      </c>
      <c r="M75" s="20">
        <v>0.5</v>
      </c>
      <c r="N75" s="20">
        <v>23</v>
      </c>
      <c r="O75" s="20">
        <v>400</v>
      </c>
      <c r="P75" s="20">
        <v>206000</v>
      </c>
      <c r="Q75" s="20">
        <v>0</v>
      </c>
      <c r="R75" s="20">
        <f t="shared" si="5"/>
        <v>24.66</v>
      </c>
      <c r="S75" s="20">
        <f t="shared" si="5"/>
        <v>37.36</v>
      </c>
      <c r="T75" s="20">
        <f t="shared" si="5"/>
        <v>37.980000000000004</v>
      </c>
      <c r="U75" s="20">
        <f t="shared" si="5"/>
        <v>1.44</v>
      </c>
      <c r="V75" s="20">
        <v>0.33</v>
      </c>
      <c r="W75" s="20">
        <v>0.18</v>
      </c>
      <c r="X75" s="20">
        <v>-1</v>
      </c>
      <c r="Y75" s="20">
        <v>-1</v>
      </c>
      <c r="Z75" s="20">
        <v>-1</v>
      </c>
      <c r="AA75" s="20">
        <v>-1</v>
      </c>
      <c r="AB75" s="20">
        <v>-1</v>
      </c>
      <c r="AC75" s="20">
        <v>-1</v>
      </c>
      <c r="AD75" s="20">
        <v>1.1499999999999999</v>
      </c>
      <c r="AE75" s="20">
        <v>1.1499999999999999</v>
      </c>
      <c r="AF75" s="20">
        <v>-1</v>
      </c>
      <c r="AG75" s="20">
        <v>6.9999999999999994E-5</v>
      </c>
      <c r="AH75" s="20">
        <v>3.5000000000000003E-2</v>
      </c>
      <c r="AI75" s="20">
        <v>7.0000000000000007E-2</v>
      </c>
      <c r="AJ75" s="20">
        <v>0.2</v>
      </c>
      <c r="AK75" s="20">
        <v>1.0000000000000001E-7</v>
      </c>
      <c r="AL75" s="20">
        <v>0.6</v>
      </c>
      <c r="AM75" s="20">
        <v>0.2</v>
      </c>
      <c r="AN75" s="20">
        <v>10</v>
      </c>
      <c r="AO75" s="20">
        <v>50</v>
      </c>
      <c r="AP75" s="20">
        <v>10</v>
      </c>
      <c r="AQ75" s="20">
        <v>0.1</v>
      </c>
      <c r="AR75" s="20">
        <v>8</v>
      </c>
      <c r="AS75" s="20">
        <v>9.9999999999999991E-6</v>
      </c>
      <c r="AT75">
        <v>0.45800000000000002</v>
      </c>
    </row>
    <row r="76" spans="1:46" x14ac:dyDescent="0.25">
      <c r="A76" s="20" t="s">
        <v>341</v>
      </c>
      <c r="B76" s="20">
        <v>15</v>
      </c>
      <c r="C76" s="20" t="s">
        <v>363</v>
      </c>
      <c r="D76" s="20">
        <v>9.8600000000000007E-3</v>
      </c>
      <c r="E76" s="20">
        <v>-1</v>
      </c>
      <c r="F76" s="20">
        <v>-1</v>
      </c>
      <c r="G76" s="20">
        <v>0</v>
      </c>
      <c r="H76" s="20">
        <v>0</v>
      </c>
      <c r="I76" s="20">
        <v>0</v>
      </c>
      <c r="J76" s="20">
        <v>0</v>
      </c>
      <c r="K76" s="20">
        <v>5</v>
      </c>
      <c r="L76" s="20">
        <v>0</v>
      </c>
      <c r="M76" s="20">
        <v>0.5</v>
      </c>
      <c r="N76" s="20">
        <v>23</v>
      </c>
      <c r="O76" s="20">
        <v>400</v>
      </c>
      <c r="P76" s="20">
        <v>206000</v>
      </c>
      <c r="Q76" s="20">
        <v>0</v>
      </c>
      <c r="R76" s="20">
        <f t="shared" si="5"/>
        <v>19.64</v>
      </c>
      <c r="S76" s="20">
        <f t="shared" si="5"/>
        <v>38.54</v>
      </c>
      <c r="T76" s="20">
        <f t="shared" si="5"/>
        <v>41.82</v>
      </c>
      <c r="U76" s="20">
        <f t="shared" si="5"/>
        <v>1.18</v>
      </c>
      <c r="V76" s="20">
        <v>0.33</v>
      </c>
      <c r="W76" s="20">
        <v>0.18</v>
      </c>
      <c r="X76" s="20">
        <v>-1</v>
      </c>
      <c r="Y76" s="20">
        <v>-1</v>
      </c>
      <c r="Z76" s="20">
        <v>-1</v>
      </c>
      <c r="AA76" s="20">
        <v>-1</v>
      </c>
      <c r="AB76" s="20">
        <v>-1</v>
      </c>
      <c r="AC76" s="20">
        <v>-1</v>
      </c>
      <c r="AD76" s="20">
        <v>1.1499999999999999</v>
      </c>
      <c r="AE76" s="20">
        <v>1.1499999999999999</v>
      </c>
      <c r="AF76" s="20">
        <v>-1</v>
      </c>
      <c r="AG76" s="20">
        <v>6.9999999999999994E-5</v>
      </c>
      <c r="AH76" s="20">
        <v>3.5000000000000003E-2</v>
      </c>
      <c r="AI76" s="20">
        <v>7.0000000000000007E-2</v>
      </c>
      <c r="AJ76" s="20">
        <v>0.2</v>
      </c>
      <c r="AK76" s="20">
        <v>1.0000000000000001E-7</v>
      </c>
      <c r="AL76" s="20">
        <v>0.6</v>
      </c>
      <c r="AM76" s="20">
        <v>0.2</v>
      </c>
      <c r="AN76" s="20">
        <v>10</v>
      </c>
      <c r="AO76" s="20">
        <v>50</v>
      </c>
      <c r="AP76" s="20">
        <v>10</v>
      </c>
      <c r="AQ76" s="20">
        <v>0.1</v>
      </c>
      <c r="AR76" s="20">
        <v>8</v>
      </c>
      <c r="AS76" s="20">
        <v>9.9999999999999991E-6</v>
      </c>
      <c r="AT76">
        <v>0.55300000000000005</v>
      </c>
    </row>
    <row r="77" spans="1:46" x14ac:dyDescent="0.25">
      <c r="A77" s="20" t="s">
        <v>341</v>
      </c>
      <c r="B77" s="20">
        <v>30</v>
      </c>
      <c r="C77" s="20" t="s">
        <v>363</v>
      </c>
      <c r="D77" s="20">
        <v>6.7600000000000004E-3</v>
      </c>
      <c r="E77" s="20">
        <v>-1</v>
      </c>
      <c r="F77" s="20">
        <v>-1</v>
      </c>
      <c r="G77" s="20">
        <v>0</v>
      </c>
      <c r="H77" s="20">
        <v>0</v>
      </c>
      <c r="I77" s="20">
        <v>0</v>
      </c>
      <c r="J77" s="20">
        <v>0</v>
      </c>
      <c r="K77" s="20">
        <v>5</v>
      </c>
      <c r="L77" s="20">
        <v>0</v>
      </c>
      <c r="M77" s="20">
        <v>0.5</v>
      </c>
      <c r="N77" s="20">
        <v>23</v>
      </c>
      <c r="O77" s="20">
        <v>400</v>
      </c>
      <c r="P77" s="20">
        <v>206000</v>
      </c>
      <c r="Q77" s="20">
        <v>0</v>
      </c>
      <c r="R77" s="20">
        <f t="shared" si="5"/>
        <v>24.66</v>
      </c>
      <c r="S77" s="20">
        <f t="shared" si="5"/>
        <v>37.36</v>
      </c>
      <c r="T77" s="20">
        <f t="shared" si="5"/>
        <v>37.980000000000004</v>
      </c>
      <c r="U77" s="20">
        <f t="shared" si="5"/>
        <v>1.38</v>
      </c>
      <c r="V77" s="20">
        <v>0.33</v>
      </c>
      <c r="W77" s="20">
        <v>0.18</v>
      </c>
      <c r="X77" s="20">
        <v>-1</v>
      </c>
      <c r="Y77" s="20">
        <v>-1</v>
      </c>
      <c r="Z77" s="20">
        <v>-1</v>
      </c>
      <c r="AA77" s="20">
        <v>-1</v>
      </c>
      <c r="AB77" s="20">
        <v>-1</v>
      </c>
      <c r="AC77" s="20">
        <v>-1</v>
      </c>
      <c r="AD77" s="20">
        <v>1.1499999999999999</v>
      </c>
      <c r="AE77" s="20">
        <v>1.1499999999999999</v>
      </c>
      <c r="AF77" s="20">
        <v>-1</v>
      </c>
      <c r="AG77" s="20">
        <v>6.9999999999999994E-5</v>
      </c>
      <c r="AH77" s="20">
        <v>3.5000000000000003E-2</v>
      </c>
      <c r="AI77" s="20">
        <v>7.0000000000000007E-2</v>
      </c>
      <c r="AJ77" s="20">
        <v>0.2</v>
      </c>
      <c r="AK77" s="20">
        <v>1.0000000000000001E-7</v>
      </c>
      <c r="AL77" s="20">
        <v>0.6</v>
      </c>
      <c r="AM77" s="20">
        <v>0.2</v>
      </c>
      <c r="AN77" s="20">
        <v>10</v>
      </c>
      <c r="AO77" s="20">
        <v>50</v>
      </c>
      <c r="AP77" s="20">
        <v>10</v>
      </c>
      <c r="AQ77" s="20">
        <v>0.1</v>
      </c>
      <c r="AR77" s="20">
        <v>8</v>
      </c>
      <c r="AS77" s="20">
        <v>9.9999999999999991E-6</v>
      </c>
      <c r="AT77">
        <v>0.52500000000000002</v>
      </c>
    </row>
    <row r="78" spans="1:46" x14ac:dyDescent="0.25">
      <c r="A78" s="20" t="s">
        <v>341</v>
      </c>
      <c r="B78" s="20">
        <v>45</v>
      </c>
      <c r="C78" s="20" t="s">
        <v>363</v>
      </c>
      <c r="D78" s="20">
        <v>4.2599999999999999E-3</v>
      </c>
      <c r="E78" s="20">
        <v>-1</v>
      </c>
      <c r="F78" s="20">
        <v>-1</v>
      </c>
      <c r="G78" s="20">
        <v>0</v>
      </c>
      <c r="H78" s="20">
        <v>0</v>
      </c>
      <c r="I78" s="20">
        <v>0</v>
      </c>
      <c r="J78" s="20">
        <v>0</v>
      </c>
      <c r="K78" s="20">
        <v>5</v>
      </c>
      <c r="L78" s="20">
        <v>0</v>
      </c>
      <c r="M78" s="20">
        <v>0.5</v>
      </c>
      <c r="N78" s="20">
        <v>23</v>
      </c>
      <c r="O78" s="20">
        <v>400</v>
      </c>
      <c r="P78" s="20">
        <v>206000</v>
      </c>
      <c r="Q78" s="20">
        <v>0</v>
      </c>
      <c r="R78" s="20">
        <f t="shared" ref="R78:U81" si="6">R60</f>
        <v>24.66</v>
      </c>
      <c r="S78" s="20">
        <f t="shared" si="6"/>
        <v>37.36</v>
      </c>
      <c r="T78" s="20">
        <f t="shared" si="6"/>
        <v>37.980000000000004</v>
      </c>
      <c r="U78" s="20">
        <f t="shared" si="6"/>
        <v>1.44</v>
      </c>
      <c r="V78" s="20">
        <v>0.33</v>
      </c>
      <c r="W78" s="20">
        <v>0.18</v>
      </c>
      <c r="X78" s="20">
        <v>-1</v>
      </c>
      <c r="Y78" s="20">
        <v>-1</v>
      </c>
      <c r="Z78" s="20">
        <v>-1</v>
      </c>
      <c r="AA78" s="20">
        <v>-1</v>
      </c>
      <c r="AB78" s="20">
        <v>-1</v>
      </c>
      <c r="AC78" s="20">
        <v>-1</v>
      </c>
      <c r="AD78" s="20">
        <v>1.1499999999999999</v>
      </c>
      <c r="AE78" s="20">
        <v>1.1499999999999999</v>
      </c>
      <c r="AF78" s="20">
        <v>-1</v>
      </c>
      <c r="AG78" s="20">
        <v>6.9999999999999994E-5</v>
      </c>
      <c r="AH78" s="20">
        <v>3.5000000000000003E-2</v>
      </c>
      <c r="AI78" s="20">
        <v>7.0000000000000007E-2</v>
      </c>
      <c r="AJ78" s="20">
        <v>0.2</v>
      </c>
      <c r="AK78" s="20">
        <v>1.0000000000000001E-7</v>
      </c>
      <c r="AL78" s="20">
        <v>0.6</v>
      </c>
      <c r="AM78" s="20">
        <v>0.2</v>
      </c>
      <c r="AN78" s="20">
        <v>10</v>
      </c>
      <c r="AO78" s="20">
        <v>50</v>
      </c>
      <c r="AP78" s="20">
        <v>10</v>
      </c>
      <c r="AQ78" s="20">
        <v>0.1</v>
      </c>
      <c r="AR78" s="20">
        <v>8</v>
      </c>
      <c r="AS78" s="20">
        <v>9.9999999999999991E-6</v>
      </c>
      <c r="AT78">
        <v>0.45800000000000002</v>
      </c>
    </row>
    <row r="79" spans="1:46" x14ac:dyDescent="0.25">
      <c r="A79" s="20" t="s">
        <v>344</v>
      </c>
      <c r="B79" s="20">
        <v>15</v>
      </c>
      <c r="C79" s="20" t="s">
        <v>363</v>
      </c>
      <c r="D79" s="20">
        <v>9.8799999999999999E-3</v>
      </c>
      <c r="E79" s="20">
        <v>-1</v>
      </c>
      <c r="F79" s="20">
        <v>-1</v>
      </c>
      <c r="G79" s="20">
        <v>0</v>
      </c>
      <c r="H79" s="20">
        <v>0</v>
      </c>
      <c r="I79" s="20">
        <v>0</v>
      </c>
      <c r="J79" s="20">
        <v>0</v>
      </c>
      <c r="K79" s="20">
        <v>5</v>
      </c>
      <c r="L79" s="20">
        <v>0</v>
      </c>
      <c r="M79" s="20">
        <v>0.5</v>
      </c>
      <c r="N79" s="20">
        <v>23</v>
      </c>
      <c r="O79" s="20">
        <v>400</v>
      </c>
      <c r="P79" s="20">
        <v>206000</v>
      </c>
      <c r="Q79" s="20">
        <v>0</v>
      </c>
      <c r="R79" s="20">
        <f t="shared" si="6"/>
        <v>19.64</v>
      </c>
      <c r="S79" s="20">
        <f t="shared" si="6"/>
        <v>38.54</v>
      </c>
      <c r="T79" s="20">
        <f t="shared" si="6"/>
        <v>41.82</v>
      </c>
      <c r="U79" s="20">
        <f t="shared" si="6"/>
        <v>1.18</v>
      </c>
      <c r="V79" s="20">
        <v>0.33</v>
      </c>
      <c r="W79" s="20">
        <v>0.18</v>
      </c>
      <c r="X79" s="20">
        <v>-1</v>
      </c>
      <c r="Y79" s="20">
        <v>-1</v>
      </c>
      <c r="Z79" s="20">
        <v>-1</v>
      </c>
      <c r="AA79" s="20">
        <v>-1</v>
      </c>
      <c r="AB79" s="20">
        <v>-1</v>
      </c>
      <c r="AC79" s="20">
        <v>-1</v>
      </c>
      <c r="AD79" s="20">
        <v>1.1499999999999999</v>
      </c>
      <c r="AE79" s="20">
        <v>1.1499999999999999</v>
      </c>
      <c r="AF79" s="20">
        <v>-1</v>
      </c>
      <c r="AG79" s="20">
        <v>6.9999999999999994E-5</v>
      </c>
      <c r="AH79" s="20">
        <v>3.5000000000000003E-2</v>
      </c>
      <c r="AI79" s="20">
        <v>7.0000000000000007E-2</v>
      </c>
      <c r="AJ79" s="20">
        <v>0.2</v>
      </c>
      <c r="AK79" s="20">
        <v>1.0000000000000001E-7</v>
      </c>
      <c r="AL79" s="20">
        <v>0.6</v>
      </c>
      <c r="AM79" s="20">
        <v>0.2</v>
      </c>
      <c r="AN79" s="20">
        <v>10</v>
      </c>
      <c r="AO79" s="20">
        <v>50</v>
      </c>
      <c r="AP79" s="20">
        <v>10</v>
      </c>
      <c r="AQ79" s="20">
        <v>0.1</v>
      </c>
      <c r="AR79" s="20">
        <v>8</v>
      </c>
      <c r="AS79" s="20">
        <v>9.9999999999999991E-6</v>
      </c>
      <c r="AT79">
        <v>0.55300000000000005</v>
      </c>
    </row>
    <row r="80" spans="1:46" x14ac:dyDescent="0.25">
      <c r="A80" s="20" t="s">
        <v>344</v>
      </c>
      <c r="B80" s="20">
        <v>30</v>
      </c>
      <c r="C80" s="20" t="s">
        <v>363</v>
      </c>
      <c r="D80" s="20">
        <v>6.8599999999999998E-3</v>
      </c>
      <c r="E80" s="20">
        <v>-1</v>
      </c>
      <c r="F80" s="20">
        <v>-1</v>
      </c>
      <c r="G80" s="20">
        <v>0</v>
      </c>
      <c r="H80" s="20">
        <v>0</v>
      </c>
      <c r="I80" s="20">
        <v>0</v>
      </c>
      <c r="J80" s="20">
        <v>0</v>
      </c>
      <c r="K80" s="20">
        <v>5</v>
      </c>
      <c r="L80" s="20">
        <v>0</v>
      </c>
      <c r="M80" s="20">
        <v>0.5</v>
      </c>
      <c r="N80" s="20">
        <v>23</v>
      </c>
      <c r="O80" s="20">
        <v>400</v>
      </c>
      <c r="P80" s="20">
        <v>206000</v>
      </c>
      <c r="Q80" s="20">
        <v>0</v>
      </c>
      <c r="R80" s="20">
        <f t="shared" si="6"/>
        <v>24.66</v>
      </c>
      <c r="S80" s="20">
        <f t="shared" si="6"/>
        <v>37.36</v>
      </c>
      <c r="T80" s="20">
        <f t="shared" si="6"/>
        <v>37.980000000000004</v>
      </c>
      <c r="U80" s="20">
        <f t="shared" si="6"/>
        <v>1.38</v>
      </c>
      <c r="V80" s="20">
        <v>0.33</v>
      </c>
      <c r="W80" s="20">
        <v>0.18</v>
      </c>
      <c r="X80" s="20">
        <v>-1</v>
      </c>
      <c r="Y80" s="20">
        <v>-1</v>
      </c>
      <c r="Z80" s="20">
        <v>-1</v>
      </c>
      <c r="AA80" s="20">
        <v>-1</v>
      </c>
      <c r="AB80" s="20">
        <v>-1</v>
      </c>
      <c r="AC80" s="20">
        <v>-1</v>
      </c>
      <c r="AD80" s="20">
        <v>1.1499999999999999</v>
      </c>
      <c r="AE80" s="20">
        <v>1.1499999999999999</v>
      </c>
      <c r="AF80" s="20">
        <v>-1</v>
      </c>
      <c r="AG80" s="20">
        <v>6.9999999999999994E-5</v>
      </c>
      <c r="AH80" s="20">
        <v>3.5000000000000003E-2</v>
      </c>
      <c r="AI80" s="20">
        <v>7.0000000000000007E-2</v>
      </c>
      <c r="AJ80" s="20">
        <v>0.2</v>
      </c>
      <c r="AK80" s="20">
        <v>1.0000000000000001E-7</v>
      </c>
      <c r="AL80" s="20">
        <v>0.6</v>
      </c>
      <c r="AM80" s="20">
        <v>0.2</v>
      </c>
      <c r="AN80" s="20">
        <v>10</v>
      </c>
      <c r="AO80" s="20">
        <v>50</v>
      </c>
      <c r="AP80" s="20">
        <v>10</v>
      </c>
      <c r="AQ80" s="20">
        <v>0.1</v>
      </c>
      <c r="AR80" s="20">
        <v>8</v>
      </c>
      <c r="AS80" s="20">
        <v>9.9999999999999991E-6</v>
      </c>
      <c r="AT80">
        <v>0.52500000000000002</v>
      </c>
    </row>
    <row r="81" spans="1:46" x14ac:dyDescent="0.25">
      <c r="A81" s="20" t="s">
        <v>344</v>
      </c>
      <c r="B81" s="20">
        <v>45</v>
      </c>
      <c r="C81" s="20" t="s">
        <v>363</v>
      </c>
      <c r="D81" s="20">
        <v>4.3600000000000002E-3</v>
      </c>
      <c r="E81" s="20">
        <v>-1</v>
      </c>
      <c r="F81" s="20">
        <v>-1</v>
      </c>
      <c r="G81" s="20">
        <v>0</v>
      </c>
      <c r="H81" s="20">
        <v>0</v>
      </c>
      <c r="I81" s="20">
        <v>0</v>
      </c>
      <c r="J81" s="20">
        <v>0</v>
      </c>
      <c r="K81" s="20">
        <v>5</v>
      </c>
      <c r="L81" s="20">
        <v>0</v>
      </c>
      <c r="M81" s="20">
        <v>0.5</v>
      </c>
      <c r="N81" s="20">
        <v>23</v>
      </c>
      <c r="O81" s="20">
        <v>400</v>
      </c>
      <c r="P81" s="20">
        <v>206000</v>
      </c>
      <c r="Q81" s="20">
        <v>0</v>
      </c>
      <c r="R81" s="20">
        <f t="shared" si="6"/>
        <v>24.66</v>
      </c>
      <c r="S81" s="20">
        <f t="shared" si="6"/>
        <v>37.36</v>
      </c>
      <c r="T81" s="20">
        <f t="shared" si="6"/>
        <v>37.980000000000004</v>
      </c>
      <c r="U81" s="20">
        <f t="shared" si="6"/>
        <v>1.44</v>
      </c>
      <c r="V81" s="20">
        <v>0.33</v>
      </c>
      <c r="W81" s="20">
        <v>0.18</v>
      </c>
      <c r="X81" s="20">
        <v>-1</v>
      </c>
      <c r="Y81" s="20">
        <v>-1</v>
      </c>
      <c r="Z81" s="20">
        <v>-1</v>
      </c>
      <c r="AA81" s="20">
        <v>-1</v>
      </c>
      <c r="AB81" s="20">
        <v>-1</v>
      </c>
      <c r="AC81" s="20">
        <v>-1</v>
      </c>
      <c r="AD81" s="20">
        <v>1.1499999999999999</v>
      </c>
      <c r="AE81" s="20">
        <v>1.1499999999999999</v>
      </c>
      <c r="AF81" s="20">
        <v>-1</v>
      </c>
      <c r="AG81" s="20">
        <v>6.9999999999999994E-5</v>
      </c>
      <c r="AH81" s="20">
        <v>3.5000000000000003E-2</v>
      </c>
      <c r="AI81" s="20">
        <v>7.0000000000000007E-2</v>
      </c>
      <c r="AJ81" s="20">
        <v>0.2</v>
      </c>
      <c r="AK81" s="20">
        <v>1.0000000000000001E-7</v>
      </c>
      <c r="AL81" s="20">
        <v>0.6</v>
      </c>
      <c r="AM81" s="20">
        <v>0.2</v>
      </c>
      <c r="AN81" s="20">
        <v>10</v>
      </c>
      <c r="AO81" s="20">
        <v>50</v>
      </c>
      <c r="AP81" s="20">
        <v>10</v>
      </c>
      <c r="AQ81" s="20">
        <v>0.1</v>
      </c>
      <c r="AR81" s="20">
        <v>8</v>
      </c>
      <c r="AS81" s="20">
        <v>9.9999999999999991E-6</v>
      </c>
      <c r="AT81">
        <v>0.45800000000000002</v>
      </c>
    </row>
    <row r="82" spans="1:46" x14ac:dyDescent="0.25">
      <c r="E82">
        <v>-1</v>
      </c>
      <c r="F82">
        <v>-1</v>
      </c>
      <c r="G82">
        <v>0</v>
      </c>
      <c r="H82">
        <v>0</v>
      </c>
      <c r="I82">
        <v>0</v>
      </c>
      <c r="J82">
        <v>0</v>
      </c>
      <c r="O82">
        <v>400</v>
      </c>
      <c r="P82">
        <v>206000</v>
      </c>
      <c r="Q82">
        <v>0</v>
      </c>
      <c r="V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0.2</v>
      </c>
      <c r="AE82">
        <v>0.2</v>
      </c>
      <c r="AF82">
        <v>-1</v>
      </c>
    </row>
    <row r="83" spans="1:46" x14ac:dyDescent="0.25">
      <c r="E83">
        <v>-1</v>
      </c>
      <c r="F83">
        <v>-1</v>
      </c>
      <c r="G83">
        <v>0</v>
      </c>
      <c r="H83">
        <v>0</v>
      </c>
      <c r="I83">
        <v>0</v>
      </c>
      <c r="J83">
        <v>0</v>
      </c>
      <c r="O83">
        <v>400</v>
      </c>
      <c r="P83">
        <v>206000</v>
      </c>
      <c r="Q83">
        <v>0</v>
      </c>
      <c r="V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0.2</v>
      </c>
      <c r="AE83">
        <v>0.2</v>
      </c>
      <c r="AF83">
        <v>-1</v>
      </c>
    </row>
    <row r="84" spans="1:46" x14ac:dyDescent="0.25">
      <c r="E84">
        <v>-1</v>
      </c>
      <c r="F84">
        <v>-1</v>
      </c>
      <c r="G84">
        <v>0</v>
      </c>
      <c r="H84">
        <v>0</v>
      </c>
      <c r="I84">
        <v>0</v>
      </c>
      <c r="J84">
        <v>0</v>
      </c>
      <c r="O84">
        <v>400</v>
      </c>
      <c r="P84">
        <v>206000</v>
      </c>
      <c r="Q84">
        <v>0</v>
      </c>
      <c r="V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0.2</v>
      </c>
      <c r="AE84">
        <v>0.2</v>
      </c>
      <c r="AF84">
        <v>-1</v>
      </c>
    </row>
    <row r="85" spans="1:46" x14ac:dyDescent="0.25">
      <c r="E85">
        <v>-1</v>
      </c>
      <c r="F85">
        <v>-1</v>
      </c>
      <c r="G85">
        <v>0</v>
      </c>
      <c r="H85">
        <v>0</v>
      </c>
      <c r="I85">
        <v>0</v>
      </c>
      <c r="J85">
        <v>0</v>
      </c>
      <c r="O85">
        <v>400</v>
      </c>
      <c r="P85">
        <v>206000</v>
      </c>
      <c r="Q85">
        <v>0</v>
      </c>
      <c r="V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0.2</v>
      </c>
      <c r="AE85">
        <v>0.2</v>
      </c>
      <c r="AF85">
        <v>-1</v>
      </c>
    </row>
    <row r="86" spans="1:46" x14ac:dyDescent="0.25">
      <c r="E86">
        <v>-1</v>
      </c>
      <c r="F86">
        <v>-1</v>
      </c>
      <c r="G86">
        <v>0</v>
      </c>
      <c r="H86">
        <v>0</v>
      </c>
      <c r="I86">
        <v>0</v>
      </c>
      <c r="J86">
        <v>0</v>
      </c>
      <c r="O86">
        <v>400</v>
      </c>
      <c r="P86">
        <v>206000</v>
      </c>
      <c r="Q86">
        <v>0</v>
      </c>
      <c r="V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0.2</v>
      </c>
      <c r="AE86">
        <v>0.2</v>
      </c>
      <c r="AF86">
        <v>-1</v>
      </c>
    </row>
    <row r="87" spans="1:46" x14ac:dyDescent="0.25">
      <c r="E87">
        <v>-1</v>
      </c>
      <c r="F87">
        <v>-1</v>
      </c>
      <c r="G87">
        <v>0</v>
      </c>
      <c r="H87">
        <v>0</v>
      </c>
      <c r="I87">
        <v>0</v>
      </c>
      <c r="J87">
        <v>0</v>
      </c>
      <c r="O87">
        <v>400</v>
      </c>
      <c r="P87">
        <v>206000</v>
      </c>
      <c r="Q87">
        <v>0</v>
      </c>
      <c r="V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0.2</v>
      </c>
      <c r="AE87">
        <v>0.2</v>
      </c>
      <c r="AF87">
        <v>-1</v>
      </c>
    </row>
    <row r="88" spans="1:46" x14ac:dyDescent="0.25">
      <c r="E88">
        <v>-1</v>
      </c>
      <c r="F88">
        <v>-1</v>
      </c>
      <c r="G88">
        <v>0</v>
      </c>
      <c r="H88">
        <v>0</v>
      </c>
      <c r="I88">
        <v>0</v>
      </c>
      <c r="J88">
        <v>0</v>
      </c>
      <c r="O88">
        <v>400</v>
      </c>
      <c r="P88">
        <v>206000</v>
      </c>
      <c r="Q88">
        <v>0</v>
      </c>
      <c r="V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0.2</v>
      </c>
      <c r="AE88">
        <v>0.2</v>
      </c>
      <c r="AF88">
        <v>-1</v>
      </c>
    </row>
    <row r="89" spans="1:46" x14ac:dyDescent="0.25">
      <c r="E89">
        <v>-1</v>
      </c>
      <c r="F89">
        <v>-1</v>
      </c>
      <c r="G89">
        <v>0</v>
      </c>
      <c r="H89">
        <v>0</v>
      </c>
      <c r="I89">
        <v>0</v>
      </c>
      <c r="J89">
        <v>0</v>
      </c>
      <c r="O89">
        <v>400</v>
      </c>
      <c r="P89">
        <v>206000</v>
      </c>
      <c r="Q89">
        <v>0</v>
      </c>
      <c r="V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0.2</v>
      </c>
      <c r="AE89">
        <v>0.2</v>
      </c>
      <c r="AF89">
        <v>-1</v>
      </c>
    </row>
    <row r="90" spans="1:46" x14ac:dyDescent="0.25">
      <c r="E90">
        <v>-1</v>
      </c>
      <c r="F90">
        <v>-1</v>
      </c>
      <c r="G90">
        <v>0</v>
      </c>
      <c r="H90">
        <v>0</v>
      </c>
      <c r="I90">
        <v>0</v>
      </c>
      <c r="J90">
        <v>0</v>
      </c>
      <c r="O90">
        <v>400</v>
      </c>
      <c r="P90">
        <v>206000</v>
      </c>
      <c r="Q90">
        <v>0</v>
      </c>
      <c r="V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0.2</v>
      </c>
      <c r="AE90">
        <v>0.2</v>
      </c>
      <c r="AF90">
        <v>-1</v>
      </c>
    </row>
    <row r="91" spans="1:46" x14ac:dyDescent="0.25">
      <c r="E91">
        <v>-1</v>
      </c>
      <c r="F91">
        <v>-1</v>
      </c>
      <c r="G91">
        <v>0</v>
      </c>
      <c r="H91">
        <v>0</v>
      </c>
      <c r="I91">
        <v>0</v>
      </c>
      <c r="J91">
        <v>0</v>
      </c>
      <c r="O91">
        <v>400</v>
      </c>
      <c r="P91">
        <v>206000</v>
      </c>
      <c r="Q91">
        <v>0</v>
      </c>
      <c r="V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0.2</v>
      </c>
      <c r="AE91">
        <v>0.2</v>
      </c>
      <c r="AF91">
        <v>-1</v>
      </c>
    </row>
    <row r="92" spans="1:46" x14ac:dyDescent="0.25">
      <c r="E92">
        <v>-1</v>
      </c>
      <c r="F92">
        <v>-1</v>
      </c>
      <c r="G92">
        <v>0</v>
      </c>
      <c r="H92">
        <v>0</v>
      </c>
      <c r="I92">
        <v>0</v>
      </c>
      <c r="J92">
        <v>0</v>
      </c>
      <c r="O92">
        <v>400</v>
      </c>
      <c r="P92">
        <v>206000</v>
      </c>
      <c r="Q92">
        <v>0</v>
      </c>
      <c r="V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0.2</v>
      </c>
      <c r="AE92">
        <v>0.2</v>
      </c>
      <c r="AF92">
        <v>-1</v>
      </c>
    </row>
    <row r="93" spans="1:46" x14ac:dyDescent="0.25">
      <c r="E93">
        <v>-1</v>
      </c>
      <c r="F93">
        <v>-1</v>
      </c>
      <c r="G93">
        <v>0</v>
      </c>
      <c r="H93">
        <v>0</v>
      </c>
      <c r="I93">
        <v>0</v>
      </c>
      <c r="J93">
        <v>0</v>
      </c>
      <c r="O93">
        <v>400</v>
      </c>
      <c r="P93">
        <v>206000</v>
      </c>
      <c r="Q93">
        <v>0</v>
      </c>
      <c r="V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0.2</v>
      </c>
      <c r="AE93">
        <v>0.2</v>
      </c>
      <c r="AF93">
        <v>-1</v>
      </c>
    </row>
    <row r="94" spans="1:46" x14ac:dyDescent="0.25">
      <c r="E94">
        <v>-1</v>
      </c>
      <c r="F94">
        <v>-1</v>
      </c>
      <c r="G94">
        <v>0</v>
      </c>
      <c r="H94">
        <v>0</v>
      </c>
      <c r="I94">
        <v>0</v>
      </c>
      <c r="J94">
        <v>0</v>
      </c>
      <c r="O94">
        <v>400</v>
      </c>
      <c r="P94">
        <v>206000</v>
      </c>
      <c r="Q94">
        <v>0</v>
      </c>
      <c r="V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0.2</v>
      </c>
      <c r="AE94">
        <v>0.2</v>
      </c>
      <c r="AF94">
        <v>-1</v>
      </c>
    </row>
    <row r="95" spans="1:46" x14ac:dyDescent="0.25">
      <c r="E95">
        <v>-1</v>
      </c>
      <c r="F95">
        <v>-1</v>
      </c>
      <c r="G95">
        <v>0</v>
      </c>
      <c r="H95">
        <v>0</v>
      </c>
      <c r="I95">
        <v>0</v>
      </c>
      <c r="J95">
        <v>0</v>
      </c>
      <c r="O95">
        <v>400</v>
      </c>
      <c r="P95">
        <v>206000</v>
      </c>
      <c r="Q95">
        <v>0</v>
      </c>
      <c r="V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0.2</v>
      </c>
      <c r="AE95">
        <v>0.2</v>
      </c>
      <c r="AF95">
        <v>-1</v>
      </c>
    </row>
    <row r="96" spans="1:46" x14ac:dyDescent="0.25">
      <c r="E96">
        <v>-1</v>
      </c>
      <c r="F96">
        <v>-1</v>
      </c>
      <c r="G96">
        <v>0</v>
      </c>
      <c r="H96">
        <v>0</v>
      </c>
      <c r="I96">
        <v>0</v>
      </c>
      <c r="J96">
        <v>0</v>
      </c>
      <c r="O96">
        <v>400</v>
      </c>
      <c r="P96">
        <v>206000</v>
      </c>
      <c r="Q96">
        <v>0</v>
      </c>
      <c r="V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0.2</v>
      </c>
      <c r="AE96">
        <v>0.2</v>
      </c>
      <c r="AF96">
        <v>-1</v>
      </c>
    </row>
    <row r="97" spans="5:32" x14ac:dyDescent="0.25">
      <c r="E97">
        <v>-1</v>
      </c>
      <c r="F97">
        <v>-1</v>
      </c>
      <c r="G97">
        <v>0</v>
      </c>
      <c r="H97">
        <v>0</v>
      </c>
      <c r="I97">
        <v>0</v>
      </c>
      <c r="J97">
        <v>0</v>
      </c>
      <c r="O97">
        <v>400</v>
      </c>
      <c r="P97">
        <v>206000</v>
      </c>
      <c r="Q97">
        <v>0</v>
      </c>
      <c r="V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0.2</v>
      </c>
      <c r="AE97">
        <v>0.2</v>
      </c>
      <c r="AF97">
        <v>-1</v>
      </c>
    </row>
    <row r="98" spans="5:32" x14ac:dyDescent="0.25">
      <c r="E98">
        <v>-1</v>
      </c>
      <c r="F98">
        <v>-1</v>
      </c>
      <c r="G98">
        <v>0</v>
      </c>
      <c r="H98">
        <v>0</v>
      </c>
      <c r="I98">
        <v>0</v>
      </c>
      <c r="J98">
        <v>0</v>
      </c>
      <c r="O98">
        <v>400</v>
      </c>
      <c r="P98">
        <v>206000</v>
      </c>
      <c r="Q98">
        <v>0</v>
      </c>
      <c r="V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0.2</v>
      </c>
      <c r="AE98">
        <v>0.2</v>
      </c>
      <c r="AF98">
        <v>-1</v>
      </c>
    </row>
    <row r="99" spans="5:32" x14ac:dyDescent="0.25">
      <c r="E99">
        <v>-1</v>
      </c>
      <c r="F99">
        <v>-1</v>
      </c>
      <c r="G99">
        <v>0</v>
      </c>
      <c r="H99">
        <v>0</v>
      </c>
      <c r="I99">
        <v>0</v>
      </c>
      <c r="J99">
        <v>0</v>
      </c>
      <c r="O99">
        <v>400</v>
      </c>
      <c r="P99">
        <v>206000</v>
      </c>
      <c r="Q99">
        <v>0</v>
      </c>
      <c r="V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0.2</v>
      </c>
      <c r="AE99">
        <v>0.2</v>
      </c>
      <c r="AF99">
        <v>-1</v>
      </c>
    </row>
    <row r="100" spans="5:32" x14ac:dyDescent="0.25">
      <c r="E100">
        <v>-1</v>
      </c>
      <c r="F100">
        <v>-1</v>
      </c>
      <c r="G100">
        <v>0</v>
      </c>
      <c r="H100">
        <v>0</v>
      </c>
      <c r="I100">
        <v>0</v>
      </c>
      <c r="J100">
        <v>0</v>
      </c>
      <c r="O100">
        <v>400</v>
      </c>
      <c r="P100">
        <v>206000</v>
      </c>
      <c r="Q100">
        <v>0</v>
      </c>
      <c r="V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0.2</v>
      </c>
      <c r="AE100">
        <v>0.2</v>
      </c>
      <c r="AF100">
        <v>-1</v>
      </c>
    </row>
    <row r="101" spans="5:32" x14ac:dyDescent="0.25">
      <c r="E101">
        <v>-1</v>
      </c>
      <c r="F101">
        <v>-1</v>
      </c>
      <c r="G101">
        <v>0</v>
      </c>
      <c r="H101">
        <v>0</v>
      </c>
      <c r="I101">
        <v>0</v>
      </c>
      <c r="J101">
        <v>0</v>
      </c>
      <c r="O101">
        <v>400</v>
      </c>
      <c r="P101">
        <v>206000</v>
      </c>
      <c r="Q101">
        <v>0</v>
      </c>
      <c r="V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0.2</v>
      </c>
      <c r="AE101">
        <v>0.2</v>
      </c>
      <c r="AF101">
        <v>-1</v>
      </c>
    </row>
    <row r="102" spans="5:32" x14ac:dyDescent="0.25">
      <c r="E102">
        <v>-1</v>
      </c>
      <c r="F102">
        <v>-1</v>
      </c>
      <c r="G102">
        <v>0</v>
      </c>
      <c r="H102">
        <v>0</v>
      </c>
      <c r="I102">
        <v>0</v>
      </c>
      <c r="J102">
        <v>0</v>
      </c>
      <c r="O102">
        <v>400</v>
      </c>
      <c r="P102">
        <v>206000</v>
      </c>
      <c r="Q102">
        <v>0</v>
      </c>
      <c r="V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0.2</v>
      </c>
      <c r="AE102">
        <v>0.2</v>
      </c>
      <c r="AF102">
        <v>-1</v>
      </c>
    </row>
    <row r="103" spans="5:32" x14ac:dyDescent="0.25">
      <c r="E103">
        <v>-1</v>
      </c>
      <c r="F103">
        <v>-1</v>
      </c>
      <c r="G103">
        <v>0</v>
      </c>
      <c r="H103">
        <v>0</v>
      </c>
      <c r="I103">
        <v>0</v>
      </c>
      <c r="J103">
        <v>0</v>
      </c>
      <c r="O103">
        <v>400</v>
      </c>
      <c r="P103">
        <v>206000</v>
      </c>
      <c r="Q103">
        <v>0</v>
      </c>
      <c r="V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0.2</v>
      </c>
      <c r="AE103">
        <v>0.2</v>
      </c>
      <c r="AF103">
        <v>-1</v>
      </c>
    </row>
    <row r="104" spans="5:32" x14ac:dyDescent="0.25">
      <c r="E104">
        <v>-1</v>
      </c>
      <c r="F104">
        <v>-1</v>
      </c>
      <c r="G104">
        <v>0</v>
      </c>
      <c r="H104">
        <v>0</v>
      </c>
      <c r="I104">
        <v>0</v>
      </c>
      <c r="J104">
        <v>0</v>
      </c>
      <c r="O104">
        <v>400</v>
      </c>
      <c r="P104">
        <v>206000</v>
      </c>
      <c r="Q104">
        <v>0</v>
      </c>
      <c r="V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0.2</v>
      </c>
      <c r="AE104">
        <v>0.2</v>
      </c>
      <c r="AF104">
        <v>-1</v>
      </c>
    </row>
    <row r="105" spans="5:32" x14ac:dyDescent="0.25">
      <c r="E105">
        <v>-1</v>
      </c>
      <c r="F105">
        <v>-1</v>
      </c>
      <c r="G105">
        <v>0</v>
      </c>
      <c r="H105">
        <v>0</v>
      </c>
      <c r="I105">
        <v>0</v>
      </c>
      <c r="J105">
        <v>0</v>
      </c>
      <c r="O105">
        <v>400</v>
      </c>
      <c r="P105">
        <v>206000</v>
      </c>
      <c r="Q105">
        <v>0</v>
      </c>
      <c r="V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0.2</v>
      </c>
      <c r="AE105">
        <v>0.2</v>
      </c>
      <c r="AF105">
        <v>-1</v>
      </c>
    </row>
    <row r="106" spans="5:32" x14ac:dyDescent="0.25">
      <c r="E106">
        <v>-1</v>
      </c>
      <c r="F106">
        <v>-1</v>
      </c>
      <c r="G106">
        <v>0</v>
      </c>
      <c r="H106">
        <v>0</v>
      </c>
      <c r="I106">
        <v>0</v>
      </c>
      <c r="J106">
        <v>0</v>
      </c>
      <c r="O106">
        <v>400</v>
      </c>
      <c r="P106">
        <v>206000</v>
      </c>
      <c r="Q106">
        <v>0</v>
      </c>
      <c r="V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0.2</v>
      </c>
      <c r="AE106">
        <v>0.2</v>
      </c>
      <c r="AF106">
        <v>-1</v>
      </c>
    </row>
    <row r="107" spans="5:32" x14ac:dyDescent="0.25">
      <c r="E107">
        <v>-1</v>
      </c>
      <c r="F107">
        <v>-1</v>
      </c>
      <c r="G107">
        <v>0</v>
      </c>
      <c r="H107">
        <v>0</v>
      </c>
      <c r="I107">
        <v>0</v>
      </c>
      <c r="J107">
        <v>0</v>
      </c>
      <c r="O107">
        <v>400</v>
      </c>
      <c r="P107">
        <v>206000</v>
      </c>
      <c r="Q107">
        <v>0</v>
      </c>
      <c r="V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0.2</v>
      </c>
      <c r="AE107">
        <v>0.2</v>
      </c>
      <c r="AF107">
        <v>-1</v>
      </c>
    </row>
    <row r="108" spans="5:32" x14ac:dyDescent="0.25">
      <c r="E108">
        <v>-1</v>
      </c>
      <c r="F108">
        <v>-1</v>
      </c>
      <c r="G108">
        <v>0</v>
      </c>
      <c r="H108">
        <v>0</v>
      </c>
      <c r="I108">
        <v>0</v>
      </c>
      <c r="J108">
        <v>0</v>
      </c>
      <c r="O108">
        <v>400</v>
      </c>
      <c r="P108">
        <v>206000</v>
      </c>
      <c r="Q108">
        <v>0</v>
      </c>
      <c r="V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0.2</v>
      </c>
      <c r="AE108">
        <v>0.2</v>
      </c>
      <c r="AF108">
        <v>-1</v>
      </c>
    </row>
    <row r="109" spans="5:32" x14ac:dyDescent="0.25">
      <c r="E109">
        <v>-1</v>
      </c>
      <c r="F109">
        <v>-1</v>
      </c>
      <c r="G109">
        <v>0</v>
      </c>
      <c r="H109">
        <v>0</v>
      </c>
      <c r="I109">
        <v>0</v>
      </c>
      <c r="J109">
        <v>0</v>
      </c>
      <c r="O109">
        <v>400</v>
      </c>
      <c r="P109">
        <v>206000</v>
      </c>
      <c r="Q109">
        <v>0</v>
      </c>
      <c r="V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0.2</v>
      </c>
      <c r="AE109">
        <v>0.2</v>
      </c>
      <c r="AF109">
        <v>-1</v>
      </c>
    </row>
    <row r="110" spans="5:32" x14ac:dyDescent="0.25">
      <c r="E110">
        <v>-1</v>
      </c>
      <c r="F110">
        <v>-1</v>
      </c>
      <c r="G110">
        <v>0</v>
      </c>
      <c r="H110">
        <v>0</v>
      </c>
      <c r="I110">
        <v>0</v>
      </c>
      <c r="J110">
        <v>0</v>
      </c>
      <c r="O110">
        <v>400</v>
      </c>
      <c r="P110">
        <v>206000</v>
      </c>
      <c r="Q110">
        <v>0</v>
      </c>
      <c r="V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0.2</v>
      </c>
      <c r="AE110">
        <v>0.2</v>
      </c>
      <c r="AF110">
        <v>-1</v>
      </c>
    </row>
    <row r="111" spans="5:32" x14ac:dyDescent="0.25">
      <c r="E111">
        <v>-1</v>
      </c>
      <c r="F111">
        <v>-1</v>
      </c>
      <c r="G111">
        <v>0</v>
      </c>
      <c r="H111">
        <v>0</v>
      </c>
      <c r="I111">
        <v>0</v>
      </c>
      <c r="J111">
        <v>0</v>
      </c>
      <c r="O111">
        <v>400</v>
      </c>
      <c r="P111">
        <v>206000</v>
      </c>
      <c r="Q111">
        <v>0</v>
      </c>
      <c r="V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0.2</v>
      </c>
      <c r="AE111">
        <v>0.2</v>
      </c>
      <c r="AF111">
        <v>-1</v>
      </c>
    </row>
    <row r="112" spans="5:32" x14ac:dyDescent="0.25">
      <c r="E112">
        <v>-1</v>
      </c>
      <c r="F112">
        <v>-1</v>
      </c>
      <c r="G112">
        <v>0</v>
      </c>
      <c r="H112">
        <v>0</v>
      </c>
      <c r="I112">
        <v>0</v>
      </c>
      <c r="J112">
        <v>0</v>
      </c>
      <c r="O112">
        <v>400</v>
      </c>
      <c r="P112">
        <v>206000</v>
      </c>
      <c r="Q112">
        <v>0</v>
      </c>
      <c r="V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0.2</v>
      </c>
      <c r="AE112">
        <v>0.2</v>
      </c>
      <c r="AF112">
        <v>-1</v>
      </c>
    </row>
    <row r="113" spans="5:32" x14ac:dyDescent="0.25">
      <c r="E113">
        <v>-1</v>
      </c>
      <c r="F113">
        <v>-1</v>
      </c>
      <c r="G113">
        <v>0</v>
      </c>
      <c r="H113">
        <v>0</v>
      </c>
      <c r="I113">
        <v>0</v>
      </c>
      <c r="J113">
        <v>0</v>
      </c>
      <c r="O113">
        <v>400</v>
      </c>
      <c r="P113">
        <v>206000</v>
      </c>
      <c r="Q113">
        <v>0</v>
      </c>
      <c r="V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0.2</v>
      </c>
      <c r="AE113">
        <v>0.2</v>
      </c>
      <c r="AF113">
        <v>-1</v>
      </c>
    </row>
    <row r="114" spans="5:32" x14ac:dyDescent="0.25">
      <c r="E114">
        <v>-1</v>
      </c>
      <c r="F114">
        <v>-1</v>
      </c>
      <c r="G114">
        <v>0</v>
      </c>
      <c r="H114">
        <v>0</v>
      </c>
      <c r="I114">
        <v>0</v>
      </c>
      <c r="J114">
        <v>0</v>
      </c>
      <c r="O114">
        <v>400</v>
      </c>
      <c r="P114">
        <v>206000</v>
      </c>
      <c r="Q114">
        <v>0</v>
      </c>
      <c r="V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0.2</v>
      </c>
      <c r="AE114">
        <v>0.2</v>
      </c>
      <c r="AF114">
        <v>-1</v>
      </c>
    </row>
    <row r="115" spans="5:32" x14ac:dyDescent="0.25">
      <c r="E115">
        <v>-1</v>
      </c>
      <c r="F115">
        <v>-1</v>
      </c>
      <c r="G115">
        <v>0</v>
      </c>
      <c r="H115">
        <v>0</v>
      </c>
      <c r="I115">
        <v>0</v>
      </c>
      <c r="J115">
        <v>0</v>
      </c>
      <c r="O115">
        <v>400</v>
      </c>
      <c r="P115">
        <v>206000</v>
      </c>
      <c r="Q115">
        <v>0</v>
      </c>
      <c r="V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0.2</v>
      </c>
      <c r="AE115">
        <v>0.2</v>
      </c>
      <c r="AF115">
        <v>-1</v>
      </c>
    </row>
    <row r="116" spans="5:32" x14ac:dyDescent="0.25">
      <c r="E116">
        <v>-1</v>
      </c>
      <c r="F116">
        <v>-1</v>
      </c>
      <c r="G116">
        <v>0</v>
      </c>
      <c r="H116">
        <v>0</v>
      </c>
      <c r="I116">
        <v>0</v>
      </c>
      <c r="J116">
        <v>0</v>
      </c>
      <c r="O116">
        <v>400</v>
      </c>
      <c r="P116">
        <v>206000</v>
      </c>
      <c r="Q116">
        <v>0</v>
      </c>
      <c r="V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0.2</v>
      </c>
      <c r="AE116">
        <v>0.2</v>
      </c>
      <c r="AF116">
        <v>-1</v>
      </c>
    </row>
    <row r="117" spans="5:32" x14ac:dyDescent="0.25">
      <c r="E117">
        <v>-1</v>
      </c>
      <c r="F117">
        <v>-1</v>
      </c>
      <c r="G117">
        <v>0</v>
      </c>
      <c r="H117">
        <v>0</v>
      </c>
      <c r="I117">
        <v>0</v>
      </c>
      <c r="J117">
        <v>0</v>
      </c>
      <c r="O117">
        <v>400</v>
      </c>
      <c r="P117">
        <v>206000</v>
      </c>
      <c r="Q117">
        <v>0</v>
      </c>
      <c r="V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0.2</v>
      </c>
      <c r="AE117">
        <v>0.2</v>
      </c>
      <c r="AF117">
        <v>-1</v>
      </c>
    </row>
    <row r="118" spans="5:32" x14ac:dyDescent="0.25">
      <c r="E118">
        <v>-1</v>
      </c>
      <c r="F118">
        <v>-1</v>
      </c>
      <c r="G118">
        <v>0</v>
      </c>
      <c r="H118">
        <v>0</v>
      </c>
      <c r="I118">
        <v>0</v>
      </c>
      <c r="J118">
        <v>0</v>
      </c>
      <c r="O118">
        <v>400</v>
      </c>
      <c r="P118">
        <v>206000</v>
      </c>
      <c r="Q118">
        <v>0</v>
      </c>
      <c r="V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0.2</v>
      </c>
      <c r="AE118">
        <v>0.2</v>
      </c>
      <c r="AF118">
        <v>-1</v>
      </c>
    </row>
    <row r="119" spans="5:32" x14ac:dyDescent="0.25">
      <c r="E119">
        <v>-1</v>
      </c>
      <c r="F119">
        <v>-1</v>
      </c>
      <c r="G119">
        <v>0</v>
      </c>
      <c r="H119">
        <v>0</v>
      </c>
      <c r="I119">
        <v>0</v>
      </c>
      <c r="J119">
        <v>0</v>
      </c>
      <c r="O119">
        <v>400</v>
      </c>
      <c r="P119">
        <v>206000</v>
      </c>
      <c r="Q119">
        <v>0</v>
      </c>
      <c r="V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0.2</v>
      </c>
      <c r="AE119">
        <v>0.2</v>
      </c>
      <c r="AF119">
        <v>-1</v>
      </c>
    </row>
    <row r="120" spans="5:32" x14ac:dyDescent="0.25">
      <c r="E120">
        <v>-1</v>
      </c>
      <c r="F120">
        <v>-1</v>
      </c>
      <c r="G120">
        <v>0</v>
      </c>
      <c r="H120">
        <v>0</v>
      </c>
      <c r="I120">
        <v>0</v>
      </c>
      <c r="J120">
        <v>0</v>
      </c>
      <c r="O120">
        <v>400</v>
      </c>
      <c r="P120">
        <v>206000</v>
      </c>
      <c r="Q120">
        <v>0</v>
      </c>
      <c r="V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0.2</v>
      </c>
      <c r="AE120">
        <v>0.2</v>
      </c>
      <c r="AF120">
        <v>-1</v>
      </c>
    </row>
    <row r="121" spans="5:32" x14ac:dyDescent="0.25">
      <c r="E121">
        <v>-1</v>
      </c>
      <c r="F121">
        <v>-1</v>
      </c>
      <c r="G121">
        <v>0</v>
      </c>
      <c r="H121">
        <v>0</v>
      </c>
      <c r="I121">
        <v>0</v>
      </c>
      <c r="J121">
        <v>0</v>
      </c>
      <c r="O121">
        <v>400</v>
      </c>
      <c r="P121">
        <v>206000</v>
      </c>
      <c r="Q121">
        <v>0</v>
      </c>
      <c r="V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0.2</v>
      </c>
      <c r="AE121">
        <v>0.2</v>
      </c>
      <c r="AF121">
        <v>-1</v>
      </c>
    </row>
    <row r="122" spans="5:32" x14ac:dyDescent="0.25">
      <c r="E122">
        <v>-1</v>
      </c>
      <c r="F122">
        <v>-1</v>
      </c>
      <c r="G122">
        <v>0</v>
      </c>
      <c r="H122">
        <v>0</v>
      </c>
      <c r="I122">
        <v>0</v>
      </c>
      <c r="J122">
        <v>0</v>
      </c>
      <c r="O122">
        <v>400</v>
      </c>
      <c r="P122">
        <v>206000</v>
      </c>
      <c r="Q122">
        <v>0</v>
      </c>
      <c r="V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0.2</v>
      </c>
      <c r="AE122">
        <v>0.2</v>
      </c>
      <c r="AF122">
        <v>-1</v>
      </c>
    </row>
    <row r="123" spans="5:32" x14ac:dyDescent="0.25">
      <c r="E123">
        <v>-1</v>
      </c>
      <c r="F123">
        <v>-1</v>
      </c>
      <c r="G123">
        <v>0</v>
      </c>
      <c r="H123">
        <v>0</v>
      </c>
      <c r="I123">
        <v>0</v>
      </c>
      <c r="J123">
        <v>0</v>
      </c>
      <c r="O123">
        <v>400</v>
      </c>
      <c r="P123">
        <v>206000</v>
      </c>
      <c r="Q123">
        <v>0</v>
      </c>
      <c r="V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0.2</v>
      </c>
      <c r="AE123">
        <v>0.2</v>
      </c>
      <c r="AF123">
        <v>-1</v>
      </c>
    </row>
    <row r="124" spans="5:32" x14ac:dyDescent="0.25">
      <c r="E124">
        <v>-1</v>
      </c>
      <c r="F124">
        <v>-1</v>
      </c>
      <c r="G124">
        <v>0</v>
      </c>
      <c r="H124">
        <v>0</v>
      </c>
      <c r="I124">
        <v>0</v>
      </c>
      <c r="J124">
        <v>0</v>
      </c>
      <c r="O124">
        <v>400</v>
      </c>
      <c r="P124">
        <v>206000</v>
      </c>
      <c r="Q124">
        <v>0</v>
      </c>
      <c r="V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0.2</v>
      </c>
      <c r="AE124">
        <v>0.2</v>
      </c>
      <c r="AF124">
        <v>-1</v>
      </c>
    </row>
    <row r="125" spans="5:32" x14ac:dyDescent="0.25">
      <c r="E125">
        <v>-1</v>
      </c>
      <c r="F125">
        <v>-1</v>
      </c>
      <c r="G125">
        <v>0</v>
      </c>
      <c r="H125">
        <v>0</v>
      </c>
      <c r="I125">
        <v>0</v>
      </c>
      <c r="J125">
        <v>0</v>
      </c>
      <c r="O125">
        <v>400</v>
      </c>
      <c r="P125">
        <v>206000</v>
      </c>
      <c r="Q125">
        <v>0</v>
      </c>
      <c r="V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0.2</v>
      </c>
      <c r="AE125">
        <v>0.2</v>
      </c>
      <c r="AF125">
        <v>-1</v>
      </c>
    </row>
    <row r="126" spans="5:32" x14ac:dyDescent="0.25">
      <c r="E126">
        <v>-1</v>
      </c>
      <c r="F126">
        <v>-1</v>
      </c>
      <c r="G126">
        <v>0</v>
      </c>
      <c r="H126">
        <v>0</v>
      </c>
      <c r="I126">
        <v>0</v>
      </c>
      <c r="J126">
        <v>0</v>
      </c>
      <c r="O126">
        <v>400</v>
      </c>
      <c r="P126">
        <v>206000</v>
      </c>
      <c r="Q126">
        <v>0</v>
      </c>
      <c r="V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0.2</v>
      </c>
      <c r="AE126">
        <v>0.2</v>
      </c>
      <c r="AF126">
        <v>-1</v>
      </c>
    </row>
    <row r="127" spans="5:32" x14ac:dyDescent="0.25">
      <c r="E127">
        <v>-1</v>
      </c>
      <c r="F127">
        <v>-1</v>
      </c>
      <c r="G127">
        <v>0</v>
      </c>
      <c r="H127">
        <v>0</v>
      </c>
      <c r="I127">
        <v>0</v>
      </c>
      <c r="J127">
        <v>0</v>
      </c>
      <c r="O127">
        <v>400</v>
      </c>
      <c r="P127">
        <v>206000</v>
      </c>
      <c r="Q127">
        <v>0</v>
      </c>
      <c r="V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0.2</v>
      </c>
      <c r="AE127">
        <v>0.2</v>
      </c>
      <c r="AF127">
        <v>-1</v>
      </c>
    </row>
    <row r="128" spans="5:32" x14ac:dyDescent="0.25">
      <c r="E128">
        <v>-1</v>
      </c>
      <c r="F128">
        <v>-1</v>
      </c>
      <c r="G128">
        <v>0</v>
      </c>
      <c r="H128">
        <v>0</v>
      </c>
      <c r="I128">
        <v>0</v>
      </c>
      <c r="J128">
        <v>0</v>
      </c>
      <c r="O128">
        <v>400</v>
      </c>
      <c r="P128">
        <v>206000</v>
      </c>
      <c r="Q128">
        <v>0</v>
      </c>
      <c r="V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0.2</v>
      </c>
      <c r="AE128">
        <v>0.2</v>
      </c>
      <c r="AF128">
        <v>-1</v>
      </c>
    </row>
    <row r="129" spans="5:32" x14ac:dyDescent="0.25">
      <c r="E129">
        <v>-1</v>
      </c>
      <c r="F129">
        <v>-1</v>
      </c>
      <c r="G129">
        <v>0</v>
      </c>
      <c r="H129">
        <v>0</v>
      </c>
      <c r="I129">
        <v>0</v>
      </c>
      <c r="J129">
        <v>0</v>
      </c>
      <c r="O129">
        <v>400</v>
      </c>
      <c r="P129">
        <v>206000</v>
      </c>
      <c r="Q129">
        <v>0</v>
      </c>
      <c r="V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0.2</v>
      </c>
      <c r="AE129">
        <v>0.2</v>
      </c>
      <c r="AF129">
        <v>-1</v>
      </c>
    </row>
    <row r="130" spans="5:32" x14ac:dyDescent="0.25">
      <c r="E130">
        <v>-1</v>
      </c>
      <c r="F130">
        <v>-1</v>
      </c>
      <c r="G130">
        <v>0</v>
      </c>
      <c r="H130">
        <v>0</v>
      </c>
      <c r="I130">
        <v>0</v>
      </c>
      <c r="J130">
        <v>0</v>
      </c>
      <c r="O130">
        <v>400</v>
      </c>
      <c r="P130">
        <v>206000</v>
      </c>
      <c r="Q130">
        <v>0</v>
      </c>
      <c r="V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0.2</v>
      </c>
      <c r="AE130">
        <v>0.2</v>
      </c>
      <c r="AF130">
        <v>-1</v>
      </c>
    </row>
    <row r="131" spans="5:32" x14ac:dyDescent="0.25">
      <c r="E131">
        <v>-1</v>
      </c>
      <c r="F131">
        <v>-1</v>
      </c>
      <c r="G131">
        <v>0</v>
      </c>
      <c r="H131">
        <v>0</v>
      </c>
      <c r="I131">
        <v>0</v>
      </c>
      <c r="J131">
        <v>0</v>
      </c>
      <c r="O131">
        <v>400</v>
      </c>
      <c r="P131">
        <v>206000</v>
      </c>
      <c r="Q131">
        <v>0</v>
      </c>
      <c r="V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0.2</v>
      </c>
      <c r="AE131">
        <v>0.2</v>
      </c>
      <c r="AF131">
        <v>-1</v>
      </c>
    </row>
    <row r="132" spans="5:32" x14ac:dyDescent="0.25">
      <c r="E132">
        <v>-1</v>
      </c>
      <c r="F132">
        <v>-1</v>
      </c>
      <c r="G132">
        <v>0</v>
      </c>
      <c r="H132">
        <v>0</v>
      </c>
      <c r="I132">
        <v>0</v>
      </c>
      <c r="J132">
        <v>0</v>
      </c>
      <c r="O132">
        <v>400</v>
      </c>
      <c r="P132">
        <v>206000</v>
      </c>
      <c r="Q132">
        <v>0</v>
      </c>
      <c r="V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0.2</v>
      </c>
      <c r="AE132">
        <v>0.2</v>
      </c>
      <c r="AF132">
        <v>-1</v>
      </c>
    </row>
    <row r="133" spans="5:32" x14ac:dyDescent="0.25">
      <c r="E133">
        <v>-1</v>
      </c>
      <c r="F133">
        <v>-1</v>
      </c>
      <c r="G133">
        <v>0</v>
      </c>
      <c r="H133">
        <v>0</v>
      </c>
      <c r="I133">
        <v>0</v>
      </c>
      <c r="J133">
        <v>0</v>
      </c>
      <c r="O133">
        <v>400</v>
      </c>
      <c r="P133">
        <v>206000</v>
      </c>
      <c r="Q133">
        <v>0</v>
      </c>
      <c r="V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0.2</v>
      </c>
      <c r="AE133">
        <v>0.2</v>
      </c>
      <c r="AF133">
        <v>-1</v>
      </c>
    </row>
    <row r="134" spans="5:32" x14ac:dyDescent="0.25">
      <c r="E134">
        <v>-1</v>
      </c>
      <c r="F134">
        <v>-1</v>
      </c>
      <c r="G134">
        <v>0</v>
      </c>
      <c r="H134">
        <v>0</v>
      </c>
      <c r="I134">
        <v>0</v>
      </c>
      <c r="J134">
        <v>0</v>
      </c>
      <c r="O134">
        <v>400</v>
      </c>
      <c r="P134">
        <v>206000</v>
      </c>
      <c r="Q134">
        <v>0</v>
      </c>
      <c r="V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0.2</v>
      </c>
      <c r="AE134">
        <v>0.2</v>
      </c>
      <c r="AF134">
        <v>-1</v>
      </c>
    </row>
    <row r="135" spans="5:32" x14ac:dyDescent="0.25">
      <c r="E135">
        <v>-1</v>
      </c>
      <c r="F135">
        <v>-1</v>
      </c>
      <c r="G135">
        <v>0</v>
      </c>
      <c r="H135">
        <v>0</v>
      </c>
      <c r="I135">
        <v>0</v>
      </c>
      <c r="J135">
        <v>0</v>
      </c>
      <c r="O135">
        <v>400</v>
      </c>
      <c r="P135">
        <v>206000</v>
      </c>
      <c r="Q135">
        <v>0</v>
      </c>
      <c r="V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0.2</v>
      </c>
      <c r="AE135">
        <v>0.2</v>
      </c>
      <c r="AF135">
        <v>-1</v>
      </c>
    </row>
    <row r="136" spans="5:32" x14ac:dyDescent="0.25">
      <c r="E136">
        <v>-1</v>
      </c>
      <c r="F136">
        <v>-1</v>
      </c>
      <c r="G136">
        <v>0</v>
      </c>
      <c r="H136">
        <v>0</v>
      </c>
      <c r="I136">
        <v>0</v>
      </c>
      <c r="J136">
        <v>0</v>
      </c>
      <c r="O136">
        <v>400</v>
      </c>
      <c r="P136">
        <v>206000</v>
      </c>
      <c r="Q136">
        <v>0</v>
      </c>
      <c r="V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0.2</v>
      </c>
      <c r="AE136">
        <v>0.2</v>
      </c>
      <c r="AF136">
        <v>-1</v>
      </c>
    </row>
    <row r="137" spans="5:32" x14ac:dyDescent="0.25">
      <c r="E137">
        <v>-1</v>
      </c>
      <c r="F137">
        <v>-1</v>
      </c>
      <c r="G137">
        <v>0</v>
      </c>
      <c r="H137">
        <v>0</v>
      </c>
      <c r="I137">
        <v>0</v>
      </c>
      <c r="J137">
        <v>0</v>
      </c>
      <c r="O137">
        <v>400</v>
      </c>
      <c r="P137">
        <v>206000</v>
      </c>
      <c r="Q137">
        <v>0</v>
      </c>
      <c r="V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0.2</v>
      </c>
      <c r="AE137">
        <v>0.2</v>
      </c>
      <c r="AF137">
        <v>-1</v>
      </c>
    </row>
    <row r="138" spans="5:32" x14ac:dyDescent="0.25">
      <c r="E138">
        <v>-1</v>
      </c>
      <c r="F138">
        <v>-1</v>
      </c>
      <c r="G138">
        <v>0</v>
      </c>
      <c r="H138">
        <v>0</v>
      </c>
      <c r="I138">
        <v>0</v>
      </c>
      <c r="J138">
        <v>0</v>
      </c>
      <c r="O138">
        <v>400</v>
      </c>
      <c r="P138">
        <v>206000</v>
      </c>
      <c r="Q138">
        <v>0</v>
      </c>
      <c r="V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0.2</v>
      </c>
      <c r="AE138">
        <v>0.2</v>
      </c>
      <c r="AF138">
        <v>-1</v>
      </c>
    </row>
    <row r="139" spans="5:32" x14ac:dyDescent="0.25">
      <c r="E139">
        <v>-1</v>
      </c>
      <c r="F139">
        <v>-1</v>
      </c>
      <c r="G139">
        <v>0</v>
      </c>
      <c r="H139">
        <v>0</v>
      </c>
      <c r="I139">
        <v>0</v>
      </c>
      <c r="J139">
        <v>0</v>
      </c>
      <c r="O139">
        <v>400</v>
      </c>
      <c r="P139">
        <v>206000</v>
      </c>
      <c r="Q139">
        <v>0</v>
      </c>
      <c r="V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0.2</v>
      </c>
      <c r="AE139">
        <v>0.2</v>
      </c>
      <c r="AF139">
        <v>-1</v>
      </c>
    </row>
    <row r="140" spans="5:32" x14ac:dyDescent="0.25">
      <c r="E140">
        <v>-1</v>
      </c>
      <c r="F140">
        <v>-1</v>
      </c>
      <c r="G140">
        <v>0</v>
      </c>
      <c r="H140">
        <v>0</v>
      </c>
      <c r="I140">
        <v>0</v>
      </c>
      <c r="J140">
        <v>0</v>
      </c>
      <c r="O140">
        <v>400</v>
      </c>
      <c r="P140">
        <v>206000</v>
      </c>
      <c r="Q140">
        <v>0</v>
      </c>
      <c r="V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0.2</v>
      </c>
      <c r="AE140">
        <v>0.2</v>
      </c>
      <c r="AF140">
        <v>-1</v>
      </c>
    </row>
    <row r="141" spans="5:32" x14ac:dyDescent="0.25">
      <c r="E141">
        <v>-1</v>
      </c>
      <c r="F141">
        <v>-1</v>
      </c>
      <c r="G141">
        <v>0</v>
      </c>
      <c r="H141">
        <v>0</v>
      </c>
      <c r="I141">
        <v>0</v>
      </c>
      <c r="J141">
        <v>0</v>
      </c>
      <c r="O141">
        <v>400</v>
      </c>
      <c r="P141">
        <v>206000</v>
      </c>
      <c r="Q141">
        <v>0</v>
      </c>
      <c r="V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0.2</v>
      </c>
      <c r="AE141">
        <v>0.2</v>
      </c>
      <c r="AF141">
        <v>-1</v>
      </c>
    </row>
    <row r="142" spans="5:32" x14ac:dyDescent="0.25">
      <c r="E142">
        <v>-1</v>
      </c>
      <c r="F142">
        <v>-1</v>
      </c>
      <c r="G142">
        <v>0</v>
      </c>
      <c r="H142">
        <v>0</v>
      </c>
      <c r="I142">
        <v>0</v>
      </c>
      <c r="J142">
        <v>0</v>
      </c>
      <c r="O142">
        <v>400</v>
      </c>
      <c r="P142">
        <v>206000</v>
      </c>
      <c r="Q142">
        <v>0</v>
      </c>
      <c r="V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0.2</v>
      </c>
      <c r="AE142">
        <v>0.2</v>
      </c>
      <c r="AF142">
        <v>-1</v>
      </c>
    </row>
    <row r="143" spans="5:32" x14ac:dyDescent="0.25">
      <c r="E143">
        <v>-1</v>
      </c>
      <c r="F143">
        <v>-1</v>
      </c>
      <c r="G143">
        <v>0</v>
      </c>
      <c r="H143">
        <v>0</v>
      </c>
      <c r="I143">
        <v>0</v>
      </c>
      <c r="J143">
        <v>0</v>
      </c>
      <c r="O143">
        <v>400</v>
      </c>
      <c r="P143">
        <v>206000</v>
      </c>
      <c r="Q143">
        <v>0</v>
      </c>
      <c r="V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0.2</v>
      </c>
      <c r="AE143">
        <v>0.2</v>
      </c>
      <c r="AF143">
        <v>-1</v>
      </c>
    </row>
    <row r="144" spans="5:32" x14ac:dyDescent="0.25">
      <c r="E144">
        <v>-1</v>
      </c>
      <c r="F144">
        <v>-1</v>
      </c>
      <c r="G144">
        <v>0</v>
      </c>
      <c r="H144">
        <v>0</v>
      </c>
      <c r="I144">
        <v>0</v>
      </c>
      <c r="J144">
        <v>0</v>
      </c>
      <c r="O144">
        <v>400</v>
      </c>
      <c r="P144">
        <v>206000</v>
      </c>
      <c r="Q144">
        <v>0</v>
      </c>
      <c r="V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0.2</v>
      </c>
      <c r="AE144">
        <v>0.2</v>
      </c>
      <c r="AF144">
        <v>-1</v>
      </c>
    </row>
    <row r="145" spans="5:32" x14ac:dyDescent="0.25">
      <c r="E145">
        <v>-1</v>
      </c>
      <c r="F145">
        <v>-1</v>
      </c>
      <c r="G145">
        <v>0</v>
      </c>
      <c r="H145">
        <v>0</v>
      </c>
      <c r="I145">
        <v>0</v>
      </c>
      <c r="J145">
        <v>0</v>
      </c>
      <c r="O145">
        <v>400</v>
      </c>
      <c r="P145">
        <v>206000</v>
      </c>
      <c r="Q145">
        <v>0</v>
      </c>
      <c r="V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0.2</v>
      </c>
      <c r="AE145">
        <v>0.2</v>
      </c>
      <c r="AF145">
        <v>-1</v>
      </c>
    </row>
    <row r="146" spans="5:32" x14ac:dyDescent="0.25">
      <c r="E146">
        <v>-1</v>
      </c>
      <c r="F146">
        <v>-1</v>
      </c>
      <c r="G146">
        <v>0</v>
      </c>
      <c r="H146">
        <v>0</v>
      </c>
      <c r="I146">
        <v>0</v>
      </c>
      <c r="J146">
        <v>0</v>
      </c>
      <c r="O146">
        <v>400</v>
      </c>
      <c r="P146">
        <v>206000</v>
      </c>
      <c r="Q146">
        <v>0</v>
      </c>
      <c r="V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0.2</v>
      </c>
      <c r="AE146">
        <v>0.2</v>
      </c>
      <c r="AF146">
        <v>-1</v>
      </c>
    </row>
    <row r="147" spans="5:32" x14ac:dyDescent="0.25">
      <c r="E147">
        <v>-1</v>
      </c>
      <c r="F147">
        <v>-1</v>
      </c>
      <c r="G147">
        <v>0</v>
      </c>
      <c r="H147">
        <v>0</v>
      </c>
      <c r="I147">
        <v>0</v>
      </c>
      <c r="J147">
        <v>0</v>
      </c>
      <c r="O147">
        <v>400</v>
      </c>
      <c r="P147">
        <v>206000</v>
      </c>
      <c r="Q147">
        <v>0</v>
      </c>
      <c r="V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0.2</v>
      </c>
      <c r="AE147">
        <v>0.2</v>
      </c>
      <c r="AF147">
        <v>-1</v>
      </c>
    </row>
    <row r="148" spans="5:32" x14ac:dyDescent="0.25">
      <c r="E148">
        <v>-1</v>
      </c>
      <c r="F148">
        <v>-1</v>
      </c>
      <c r="G148">
        <v>0</v>
      </c>
      <c r="H148">
        <v>0</v>
      </c>
      <c r="I148">
        <v>0</v>
      </c>
      <c r="J148">
        <v>0</v>
      </c>
      <c r="O148">
        <v>400</v>
      </c>
      <c r="P148">
        <v>206000</v>
      </c>
      <c r="Q148">
        <v>0</v>
      </c>
      <c r="V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0.2</v>
      </c>
      <c r="AE148">
        <v>0.2</v>
      </c>
      <c r="AF148">
        <v>-1</v>
      </c>
    </row>
    <row r="149" spans="5:32" x14ac:dyDescent="0.25">
      <c r="E149">
        <v>-1</v>
      </c>
      <c r="F149">
        <v>-1</v>
      </c>
      <c r="G149">
        <v>0</v>
      </c>
      <c r="H149">
        <v>0</v>
      </c>
      <c r="I149">
        <v>0</v>
      </c>
      <c r="J149">
        <v>0</v>
      </c>
      <c r="O149">
        <v>400</v>
      </c>
      <c r="P149">
        <v>206000</v>
      </c>
      <c r="Q149">
        <v>0</v>
      </c>
      <c r="V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0.2</v>
      </c>
      <c r="AE149">
        <v>0.2</v>
      </c>
      <c r="AF149">
        <v>-1</v>
      </c>
    </row>
    <row r="150" spans="5:32" x14ac:dyDescent="0.25">
      <c r="E150">
        <v>-1</v>
      </c>
      <c r="F150">
        <v>-1</v>
      </c>
      <c r="G150">
        <v>0</v>
      </c>
      <c r="H150">
        <v>0</v>
      </c>
      <c r="I150">
        <v>0</v>
      </c>
      <c r="J150">
        <v>0</v>
      </c>
      <c r="O150">
        <v>400</v>
      </c>
      <c r="P150">
        <v>206000</v>
      </c>
      <c r="Q150">
        <v>0</v>
      </c>
      <c r="V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0.2</v>
      </c>
      <c r="AE150">
        <v>0.2</v>
      </c>
      <c r="AF150">
        <v>-1</v>
      </c>
    </row>
    <row r="151" spans="5:32" x14ac:dyDescent="0.25">
      <c r="E151">
        <v>-1</v>
      </c>
      <c r="F151">
        <v>-1</v>
      </c>
      <c r="G151">
        <v>0</v>
      </c>
      <c r="H151">
        <v>0</v>
      </c>
      <c r="I151">
        <v>0</v>
      </c>
      <c r="J151">
        <v>0</v>
      </c>
      <c r="O151">
        <v>400</v>
      </c>
      <c r="P151">
        <v>206000</v>
      </c>
      <c r="Q151">
        <v>0</v>
      </c>
      <c r="V151">
        <v>-1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0.2</v>
      </c>
      <c r="AE151">
        <v>0.2</v>
      </c>
      <c r="AF151">
        <v>-1</v>
      </c>
    </row>
    <row r="152" spans="5:32" x14ac:dyDescent="0.25">
      <c r="E152">
        <v>-1</v>
      </c>
      <c r="F152">
        <v>-1</v>
      </c>
      <c r="G152">
        <v>0</v>
      </c>
      <c r="H152">
        <v>0</v>
      </c>
      <c r="I152">
        <v>0</v>
      </c>
      <c r="J152">
        <v>0</v>
      </c>
      <c r="O152">
        <v>400</v>
      </c>
      <c r="P152">
        <v>206000</v>
      </c>
      <c r="Q152">
        <v>0</v>
      </c>
      <c r="V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0.2</v>
      </c>
      <c r="AE152">
        <v>0.2</v>
      </c>
      <c r="AF152">
        <v>-1</v>
      </c>
    </row>
    <row r="153" spans="5:32" x14ac:dyDescent="0.25">
      <c r="E153">
        <v>-1</v>
      </c>
      <c r="F153">
        <v>-1</v>
      </c>
      <c r="G153">
        <v>0</v>
      </c>
      <c r="H153">
        <v>0</v>
      </c>
      <c r="I153">
        <v>0</v>
      </c>
      <c r="J153">
        <v>0</v>
      </c>
      <c r="O153">
        <v>400</v>
      </c>
      <c r="P153">
        <v>206000</v>
      </c>
      <c r="Q153">
        <v>0</v>
      </c>
      <c r="V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0.2</v>
      </c>
      <c r="AE153">
        <v>0.2</v>
      </c>
      <c r="AF153">
        <v>-1</v>
      </c>
    </row>
    <row r="154" spans="5:32" x14ac:dyDescent="0.25">
      <c r="E154">
        <v>-1</v>
      </c>
      <c r="F154">
        <v>-1</v>
      </c>
      <c r="G154">
        <v>0</v>
      </c>
      <c r="H154">
        <v>0</v>
      </c>
      <c r="I154">
        <v>0</v>
      </c>
      <c r="J154">
        <v>0</v>
      </c>
      <c r="O154">
        <v>400</v>
      </c>
      <c r="P154">
        <v>206000</v>
      </c>
      <c r="Q154">
        <v>0</v>
      </c>
      <c r="V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0.2</v>
      </c>
      <c r="AE154">
        <v>0.2</v>
      </c>
      <c r="AF154">
        <v>-1</v>
      </c>
    </row>
    <row r="155" spans="5:32" x14ac:dyDescent="0.25">
      <c r="E155">
        <v>-1</v>
      </c>
      <c r="F155">
        <v>-1</v>
      </c>
      <c r="G155">
        <v>0</v>
      </c>
      <c r="H155">
        <v>0</v>
      </c>
      <c r="I155">
        <v>0</v>
      </c>
      <c r="J155">
        <v>0</v>
      </c>
      <c r="O155">
        <v>400</v>
      </c>
      <c r="P155">
        <v>206000</v>
      </c>
      <c r="Q155">
        <v>0</v>
      </c>
      <c r="V155">
        <v>-1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0.2</v>
      </c>
      <c r="AE155">
        <v>0.2</v>
      </c>
      <c r="AF155">
        <v>-1</v>
      </c>
    </row>
  </sheetData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ADBF-76C4-4D91-8CE7-6DF079B1F138}">
  <sheetPr codeName="Sheet17"/>
  <dimension ref="A1:K4"/>
  <sheetViews>
    <sheetView workbookViewId="0">
      <selection activeCell="F8" sqref="F8"/>
    </sheetView>
  </sheetViews>
  <sheetFormatPr defaultRowHeight="15" x14ac:dyDescent="0.25"/>
  <cols>
    <col min="1" max="1" width="16.5703125" customWidth="1"/>
    <col min="3" max="3" width="15" customWidth="1"/>
    <col min="4" max="4" width="12.85546875" customWidth="1"/>
    <col min="5" max="5" width="32.7109375" customWidth="1"/>
    <col min="6" max="6" width="25.28515625" customWidth="1"/>
    <col min="7" max="7" width="21.5703125" customWidth="1"/>
    <col min="8" max="8" width="21" customWidth="1"/>
  </cols>
  <sheetData>
    <row r="1" spans="1:11" x14ac:dyDescent="0.25">
      <c r="A1" s="8" t="s">
        <v>49</v>
      </c>
      <c r="B1" s="8" t="s">
        <v>159</v>
      </c>
      <c r="C1" s="8" t="s">
        <v>160</v>
      </c>
      <c r="D1" s="8" t="s">
        <v>161</v>
      </c>
      <c r="E1" s="8" t="s">
        <v>162</v>
      </c>
      <c r="F1" s="8" t="s">
        <v>163</v>
      </c>
      <c r="G1" s="8" t="s">
        <v>227</v>
      </c>
      <c r="H1" s="8" t="s">
        <v>164</v>
      </c>
      <c r="I1" s="8" t="s">
        <v>165</v>
      </c>
      <c r="J1" s="8" t="s">
        <v>166</v>
      </c>
      <c r="K1" s="8" t="s">
        <v>167</v>
      </c>
    </row>
    <row r="2" spans="1:11" x14ac:dyDescent="0.25">
      <c r="A2" t="s">
        <v>39</v>
      </c>
      <c r="B2">
        <v>0.8</v>
      </c>
      <c r="C2">
        <v>0.65</v>
      </c>
      <c r="D2">
        <v>0.65</v>
      </c>
      <c r="E2">
        <v>11920</v>
      </c>
      <c r="F2">
        <v>1.18</v>
      </c>
      <c r="G2">
        <v>3.5000000000000003E-2</v>
      </c>
      <c r="H2">
        <v>1.5</v>
      </c>
      <c r="I2">
        <v>0.5</v>
      </c>
      <c r="J2">
        <v>0</v>
      </c>
      <c r="K2">
        <v>0.5</v>
      </c>
    </row>
    <row r="3" spans="1:11" x14ac:dyDescent="0.25">
      <c r="A3" t="s">
        <v>45</v>
      </c>
      <c r="B3">
        <v>0.8</v>
      </c>
      <c r="C3">
        <v>0.65</v>
      </c>
      <c r="D3">
        <v>0.65</v>
      </c>
      <c r="E3">
        <v>15400</v>
      </c>
      <c r="F3">
        <v>2.16</v>
      </c>
      <c r="G3">
        <v>1.1999999999999999E-3</v>
      </c>
      <c r="H3">
        <v>1.5</v>
      </c>
      <c r="I3">
        <v>0.5</v>
      </c>
      <c r="J3">
        <v>0</v>
      </c>
      <c r="K3">
        <v>0.5</v>
      </c>
    </row>
    <row r="4" spans="1:11" x14ac:dyDescent="0.25">
      <c r="A4" t="s">
        <v>55</v>
      </c>
      <c r="B4">
        <v>0.8</v>
      </c>
      <c r="C4">
        <v>0.65</v>
      </c>
      <c r="D4">
        <v>0.65</v>
      </c>
      <c r="E4">
        <v>12355.2</v>
      </c>
      <c r="F4">
        <v>2.16</v>
      </c>
      <c r="G4">
        <v>6.2500000000000001E-4</v>
      </c>
      <c r="H4">
        <v>1.5</v>
      </c>
      <c r="I4">
        <v>0.5</v>
      </c>
      <c r="J4">
        <v>0</v>
      </c>
      <c r="K4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2"/>
  <sheetViews>
    <sheetView workbookViewId="0">
      <selection activeCell="E35" sqref="E35"/>
    </sheetView>
  </sheetViews>
  <sheetFormatPr defaultRowHeight="15" x14ac:dyDescent="0.25"/>
  <cols>
    <col min="1" max="1" width="16.7109375" customWidth="1"/>
    <col min="5" max="5" width="16.5703125" customWidth="1"/>
  </cols>
  <sheetData>
    <row r="1" spans="1:5" x14ac:dyDescent="0.25">
      <c r="A1" s="8" t="s">
        <v>49</v>
      </c>
      <c r="B1" s="8" t="s">
        <v>159</v>
      </c>
      <c r="C1" s="8" t="s">
        <v>168</v>
      </c>
      <c r="D1" s="8" t="s">
        <v>169</v>
      </c>
      <c r="E1" s="8" t="s">
        <v>170</v>
      </c>
    </row>
    <row r="2" spans="1:5" x14ac:dyDescent="0.25">
      <c r="A2" t="s">
        <v>22</v>
      </c>
      <c r="B2">
        <v>0.8</v>
      </c>
      <c r="C2">
        <v>0</v>
      </c>
      <c r="D2">
        <v>0.5</v>
      </c>
      <c r="E2">
        <v>1.2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L32"/>
  <sheetViews>
    <sheetView workbookViewId="0">
      <selection activeCell="A2" sqref="A2:XFD14"/>
    </sheetView>
  </sheetViews>
  <sheetFormatPr defaultRowHeight="15" x14ac:dyDescent="0.25"/>
  <cols>
    <col min="1" max="1" width="10.5703125" customWidth="1"/>
    <col min="2" max="2" width="12" customWidth="1"/>
    <col min="3" max="3" width="11.5703125" customWidth="1"/>
    <col min="10" max="10" width="15.28515625" customWidth="1"/>
    <col min="11" max="11" width="15.85546875" customWidth="1"/>
    <col min="12" max="12" width="14" style="17" customWidth="1"/>
  </cols>
  <sheetData>
    <row r="1" spans="1:12" ht="15.75" x14ac:dyDescent="0.25">
      <c r="A1" s="2" t="s">
        <v>49</v>
      </c>
      <c r="B1" s="13" t="s">
        <v>223</v>
      </c>
      <c r="C1" s="13" t="s">
        <v>224</v>
      </c>
      <c r="D1" s="10" t="s">
        <v>23</v>
      </c>
      <c r="E1" s="10" t="s">
        <v>57</v>
      </c>
      <c r="F1" s="10" t="s">
        <v>58</v>
      </c>
      <c r="G1" s="10" t="s">
        <v>59</v>
      </c>
      <c r="H1" s="7" t="s">
        <v>25</v>
      </c>
      <c r="I1" s="7" t="s">
        <v>26</v>
      </c>
      <c r="J1" s="7" t="s">
        <v>220</v>
      </c>
      <c r="K1" s="7" t="s">
        <v>221</v>
      </c>
      <c r="L1" s="18" t="s">
        <v>222</v>
      </c>
    </row>
    <row r="3" spans="1:12" x14ac:dyDescent="0.25">
      <c r="A3" s="20" t="s">
        <v>275</v>
      </c>
      <c r="B3" s="24">
        <v>42552</v>
      </c>
      <c r="C3" s="24">
        <v>42692</v>
      </c>
      <c r="D3" s="20">
        <v>1E-4</v>
      </c>
      <c r="E3" s="20">
        <v>9.9999999999999995E-8</v>
      </c>
      <c r="F3" s="20">
        <v>1.3</v>
      </c>
      <c r="G3" s="20">
        <v>0.3</v>
      </c>
      <c r="H3" s="20">
        <v>1</v>
      </c>
      <c r="I3" s="20">
        <v>0</v>
      </c>
      <c r="J3" s="20">
        <v>1</v>
      </c>
      <c r="K3" s="20">
        <v>0</v>
      </c>
      <c r="L3" s="20">
        <v>0</v>
      </c>
    </row>
    <row r="4" spans="1:12" x14ac:dyDescent="0.25">
      <c r="A4" s="20" t="s">
        <v>283</v>
      </c>
      <c r="B4" s="24">
        <v>42917</v>
      </c>
      <c r="C4" s="24">
        <v>43064</v>
      </c>
      <c r="D4" s="20">
        <v>1E-4</v>
      </c>
      <c r="E4" s="20">
        <v>9.9999999999999995E-8</v>
      </c>
      <c r="F4" s="20">
        <v>1.3</v>
      </c>
      <c r="G4" s="20">
        <v>0.3</v>
      </c>
      <c r="H4" s="20">
        <v>1</v>
      </c>
      <c r="I4" s="20">
        <v>0</v>
      </c>
      <c r="J4" s="20">
        <v>1</v>
      </c>
      <c r="K4" s="20">
        <v>0</v>
      </c>
      <c r="L4" s="20">
        <v>0</v>
      </c>
    </row>
    <row r="5" spans="1:12" x14ac:dyDescent="0.25">
      <c r="A5" s="20" t="s">
        <v>286</v>
      </c>
      <c r="B5" s="24">
        <v>43271</v>
      </c>
      <c r="C5" s="24">
        <v>43424</v>
      </c>
      <c r="D5" s="20">
        <v>1E-4</v>
      </c>
      <c r="E5" s="20">
        <v>9.9999999999999995E-8</v>
      </c>
      <c r="F5" s="20">
        <v>1.3</v>
      </c>
      <c r="G5" s="20">
        <v>0.3</v>
      </c>
      <c r="H5" s="20">
        <v>1</v>
      </c>
      <c r="I5" s="20">
        <v>0</v>
      </c>
      <c r="J5" s="20">
        <v>1</v>
      </c>
      <c r="K5" s="20">
        <v>0</v>
      </c>
      <c r="L5" s="20">
        <v>0</v>
      </c>
    </row>
    <row r="6" spans="1:12" x14ac:dyDescent="0.25">
      <c r="A6" s="20" t="s">
        <v>289</v>
      </c>
      <c r="B6" s="24">
        <v>43631</v>
      </c>
      <c r="C6" s="24">
        <v>43784</v>
      </c>
      <c r="D6" s="20">
        <v>1E-4</v>
      </c>
      <c r="E6" s="20">
        <v>9.9999999999999995E-8</v>
      </c>
      <c r="F6" s="20">
        <v>1.3</v>
      </c>
      <c r="G6" s="20">
        <v>0.3</v>
      </c>
      <c r="H6" s="20">
        <v>1</v>
      </c>
      <c r="I6" s="20">
        <v>0</v>
      </c>
      <c r="J6" s="20">
        <v>1</v>
      </c>
      <c r="K6" s="20">
        <v>0</v>
      </c>
      <c r="L6" s="20">
        <v>0</v>
      </c>
    </row>
    <row r="7" spans="1:12" x14ac:dyDescent="0.25">
      <c r="A7" s="20" t="s">
        <v>292</v>
      </c>
      <c r="B7" s="24">
        <v>43987</v>
      </c>
      <c r="C7" s="24">
        <v>44145</v>
      </c>
      <c r="D7" s="20">
        <v>1E-4</v>
      </c>
      <c r="E7" s="20">
        <v>9.9999999999999995E-8</v>
      </c>
      <c r="F7" s="20">
        <v>1.3</v>
      </c>
      <c r="G7" s="20">
        <v>0.3</v>
      </c>
      <c r="H7" s="20">
        <v>1</v>
      </c>
      <c r="I7" s="20">
        <v>0</v>
      </c>
      <c r="J7" s="20">
        <v>1</v>
      </c>
      <c r="K7" s="20">
        <v>0</v>
      </c>
      <c r="L7" s="20">
        <v>0</v>
      </c>
    </row>
    <row r="8" spans="1:12" x14ac:dyDescent="0.25">
      <c r="A8" s="20" t="s">
        <v>295</v>
      </c>
      <c r="B8" s="24">
        <v>44357</v>
      </c>
      <c r="C8" s="24">
        <v>44512</v>
      </c>
      <c r="D8" s="20">
        <v>1E-4</v>
      </c>
      <c r="E8" s="20">
        <v>9.9999999999999995E-8</v>
      </c>
      <c r="F8" s="20">
        <v>1.3</v>
      </c>
      <c r="G8" s="20">
        <v>0.3</v>
      </c>
      <c r="H8" s="20">
        <v>1</v>
      </c>
      <c r="I8" s="20">
        <v>0</v>
      </c>
      <c r="J8" s="20">
        <v>1</v>
      </c>
      <c r="K8" s="20">
        <v>0</v>
      </c>
      <c r="L8" s="20">
        <v>0</v>
      </c>
    </row>
    <row r="9" spans="1:12" x14ac:dyDescent="0.25">
      <c r="A9" s="20" t="s">
        <v>298</v>
      </c>
      <c r="B9" s="24">
        <v>39995</v>
      </c>
      <c r="C9" s="24">
        <v>40135</v>
      </c>
      <c r="D9" s="20">
        <v>1E-4</v>
      </c>
      <c r="E9" s="20">
        <v>9.9999999999999995E-8</v>
      </c>
      <c r="F9" s="20">
        <v>1.3</v>
      </c>
      <c r="G9" s="20">
        <v>0.3</v>
      </c>
      <c r="H9" s="20">
        <v>1</v>
      </c>
      <c r="I9" s="20">
        <v>0</v>
      </c>
      <c r="J9" s="20">
        <v>1</v>
      </c>
      <c r="K9" s="20">
        <v>0</v>
      </c>
      <c r="L9" s="20">
        <v>0</v>
      </c>
    </row>
    <row r="10" spans="1:12" x14ac:dyDescent="0.25">
      <c r="A10" s="20" t="s">
        <v>301</v>
      </c>
      <c r="B10" s="24">
        <v>40362</v>
      </c>
      <c r="C10" s="24">
        <v>40501</v>
      </c>
      <c r="D10" s="20">
        <v>1E-4</v>
      </c>
      <c r="E10" s="20">
        <v>9.9999999999999995E-8</v>
      </c>
      <c r="F10" s="20">
        <v>1.3</v>
      </c>
      <c r="G10" s="20">
        <v>0.3</v>
      </c>
      <c r="H10" s="20">
        <v>1</v>
      </c>
      <c r="I10" s="20">
        <v>0</v>
      </c>
      <c r="J10" s="20">
        <v>1</v>
      </c>
      <c r="K10" s="20">
        <v>0</v>
      </c>
      <c r="L10" s="20">
        <v>0</v>
      </c>
    </row>
    <row r="11" spans="1:12" x14ac:dyDescent="0.25">
      <c r="A11" s="20" t="s">
        <v>304</v>
      </c>
      <c r="B11" s="24">
        <v>40731</v>
      </c>
      <c r="C11" s="24">
        <v>40869</v>
      </c>
      <c r="D11" s="20">
        <v>1E-4</v>
      </c>
      <c r="E11" s="20">
        <v>9.9999999999999995E-8</v>
      </c>
      <c r="F11" s="20">
        <v>1.3</v>
      </c>
      <c r="G11" s="20">
        <v>0.3</v>
      </c>
      <c r="H11" s="20">
        <v>1</v>
      </c>
      <c r="I11" s="20">
        <v>0</v>
      </c>
      <c r="J11" s="20">
        <v>1</v>
      </c>
      <c r="K11" s="20">
        <v>0</v>
      </c>
      <c r="L11" s="20">
        <v>0</v>
      </c>
    </row>
    <row r="12" spans="1:12" x14ac:dyDescent="0.25">
      <c r="A12" s="20" t="s">
        <v>307</v>
      </c>
      <c r="B12" s="24">
        <v>41094</v>
      </c>
      <c r="C12" s="24">
        <v>41239</v>
      </c>
      <c r="D12" s="20">
        <v>1E-4</v>
      </c>
      <c r="E12" s="20">
        <v>9.9999999999999995E-8</v>
      </c>
      <c r="F12" s="20">
        <v>1.3</v>
      </c>
      <c r="G12" s="20">
        <v>0.3</v>
      </c>
      <c r="H12" s="20">
        <v>1</v>
      </c>
      <c r="I12" s="20">
        <v>0</v>
      </c>
      <c r="J12" s="20">
        <v>1</v>
      </c>
      <c r="K12" s="20">
        <v>0</v>
      </c>
      <c r="L12" s="20">
        <v>0</v>
      </c>
    </row>
    <row r="13" spans="1:12" x14ac:dyDescent="0.25">
      <c r="A13" s="20" t="s">
        <v>310</v>
      </c>
      <c r="B13" s="24">
        <v>41435</v>
      </c>
      <c r="C13" s="24">
        <v>41575</v>
      </c>
      <c r="D13" s="20">
        <v>1E-4</v>
      </c>
      <c r="E13" s="20">
        <v>9.9999999999999995E-8</v>
      </c>
      <c r="F13" s="20">
        <v>1.3</v>
      </c>
      <c r="G13" s="20">
        <v>0.3</v>
      </c>
      <c r="H13" s="20">
        <v>1</v>
      </c>
      <c r="I13" s="20">
        <v>0</v>
      </c>
      <c r="J13" s="20">
        <v>1</v>
      </c>
      <c r="K13" s="20">
        <v>0</v>
      </c>
      <c r="L13" s="20">
        <v>0</v>
      </c>
    </row>
    <row r="14" spans="1:12" x14ac:dyDescent="0.25">
      <c r="A14" s="20" t="s">
        <v>313</v>
      </c>
      <c r="B14" s="24">
        <v>41802</v>
      </c>
      <c r="C14" s="24">
        <v>41942</v>
      </c>
      <c r="D14" s="20">
        <v>1E-4</v>
      </c>
      <c r="E14" s="20">
        <v>9.9999999999999995E-8</v>
      </c>
      <c r="F14" s="20">
        <v>1.3</v>
      </c>
      <c r="G14" s="20">
        <v>0.3</v>
      </c>
      <c r="H14" s="20">
        <v>1</v>
      </c>
      <c r="I14" s="20">
        <v>0</v>
      </c>
      <c r="J14" s="20">
        <v>1</v>
      </c>
      <c r="K14" s="20">
        <v>0</v>
      </c>
      <c r="L14" s="20">
        <v>0</v>
      </c>
    </row>
    <row r="15" spans="1:12" x14ac:dyDescent="0.25">
      <c r="A15" s="20" t="s">
        <v>316</v>
      </c>
      <c r="B15" s="24">
        <v>42168</v>
      </c>
      <c r="C15" s="24">
        <v>42306</v>
      </c>
      <c r="D15" s="20">
        <v>1E-4</v>
      </c>
      <c r="E15" s="20">
        <v>9.9999999999999995E-8</v>
      </c>
      <c r="F15" s="20">
        <v>1.3</v>
      </c>
      <c r="G15" s="20">
        <v>0.3</v>
      </c>
      <c r="H15" s="20">
        <v>1</v>
      </c>
      <c r="I15" s="20">
        <v>0</v>
      </c>
      <c r="J15" s="20">
        <v>1</v>
      </c>
      <c r="K15" s="20">
        <v>0</v>
      </c>
      <c r="L15" s="20">
        <v>0</v>
      </c>
    </row>
    <row r="16" spans="1:12" x14ac:dyDescent="0.25">
      <c r="A16" s="20"/>
      <c r="B16" s="20"/>
      <c r="C16" s="20"/>
      <c r="D16" s="20"/>
      <c r="E16" s="20"/>
      <c r="F16" s="24"/>
      <c r="G16" s="24"/>
      <c r="H16" s="20"/>
      <c r="I16" s="20"/>
      <c r="J16" s="20"/>
      <c r="K16" s="20"/>
      <c r="L16" s="20"/>
    </row>
    <row r="17" spans="1:12" x14ac:dyDescent="0.25">
      <c r="A17" s="20"/>
      <c r="B17" s="20"/>
      <c r="C17" s="20"/>
      <c r="D17" s="20"/>
      <c r="E17" s="20"/>
      <c r="F17" s="24"/>
      <c r="G17" s="24"/>
      <c r="H17" s="20"/>
      <c r="I17" s="20"/>
      <c r="J17" s="20"/>
      <c r="K17" s="20"/>
      <c r="L17" s="20"/>
    </row>
    <row r="18" spans="1:12" x14ac:dyDescent="0.25">
      <c r="A18" s="20" t="s">
        <v>319</v>
      </c>
      <c r="B18" s="24">
        <v>39928</v>
      </c>
      <c r="C18" s="24">
        <v>40106</v>
      </c>
      <c r="D18" s="20">
        <v>1E-4</v>
      </c>
      <c r="E18" s="20">
        <v>9.9999999999999995E-8</v>
      </c>
      <c r="F18" s="20">
        <v>1.3</v>
      </c>
      <c r="G18" s="20">
        <v>0.3</v>
      </c>
      <c r="H18" s="20">
        <v>1</v>
      </c>
      <c r="I18" s="20">
        <v>0</v>
      </c>
      <c r="J18" s="20">
        <v>1</v>
      </c>
      <c r="K18" s="20">
        <v>0</v>
      </c>
      <c r="L18" s="20">
        <v>0</v>
      </c>
    </row>
    <row r="19" spans="1:12" x14ac:dyDescent="0.25">
      <c r="A19" s="20" t="s">
        <v>327</v>
      </c>
      <c r="B19" s="24">
        <v>40293</v>
      </c>
      <c r="C19" s="24">
        <v>40471</v>
      </c>
      <c r="D19" s="20">
        <v>1E-4</v>
      </c>
      <c r="E19" s="20">
        <v>9.9999999999999995E-8</v>
      </c>
      <c r="F19" s="20">
        <v>1.3</v>
      </c>
      <c r="G19" s="20">
        <v>0.3</v>
      </c>
      <c r="H19" s="20">
        <v>1</v>
      </c>
      <c r="I19" s="20">
        <v>0</v>
      </c>
      <c r="J19" s="20">
        <v>1</v>
      </c>
      <c r="K19" s="20">
        <v>0</v>
      </c>
      <c r="L19" s="20">
        <v>0</v>
      </c>
    </row>
    <row r="20" spans="1:12" x14ac:dyDescent="0.25">
      <c r="A20" s="20" t="s">
        <v>330</v>
      </c>
      <c r="B20" s="24">
        <v>40658</v>
      </c>
      <c r="C20" s="24">
        <v>40836</v>
      </c>
      <c r="D20" s="20">
        <v>1E-4</v>
      </c>
      <c r="E20" s="20">
        <v>9.9999999999999995E-8</v>
      </c>
      <c r="F20" s="20">
        <v>1.3</v>
      </c>
      <c r="G20" s="20">
        <v>0.3</v>
      </c>
      <c r="H20" s="20">
        <v>1</v>
      </c>
      <c r="I20" s="20">
        <v>0</v>
      </c>
      <c r="J20" s="20">
        <v>1</v>
      </c>
      <c r="K20" s="20">
        <v>0</v>
      </c>
      <c r="L20" s="20">
        <v>0</v>
      </c>
    </row>
    <row r="21" spans="1:12" x14ac:dyDescent="0.25">
      <c r="A21" s="20" t="s">
        <v>333</v>
      </c>
      <c r="B21" s="24">
        <v>41024</v>
      </c>
      <c r="C21" s="24">
        <v>41202</v>
      </c>
      <c r="D21" s="20">
        <v>1E-4</v>
      </c>
      <c r="E21" s="20">
        <v>9.9999999999999995E-8</v>
      </c>
      <c r="F21" s="20">
        <v>1.3</v>
      </c>
      <c r="G21" s="20">
        <v>0.3</v>
      </c>
      <c r="H21" s="20">
        <v>1</v>
      </c>
      <c r="I21" s="20">
        <v>0</v>
      </c>
      <c r="J21" s="20">
        <v>1</v>
      </c>
      <c r="K21" s="20">
        <v>0</v>
      </c>
      <c r="L21" s="20">
        <v>0</v>
      </c>
    </row>
    <row r="22" spans="1:12" x14ac:dyDescent="0.25">
      <c r="A22" s="20" t="s">
        <v>336</v>
      </c>
      <c r="B22" s="24">
        <v>41389</v>
      </c>
      <c r="C22" s="24">
        <v>41567</v>
      </c>
      <c r="D22" s="20">
        <v>1E-4</v>
      </c>
      <c r="E22" s="20">
        <v>9.9999999999999995E-8</v>
      </c>
      <c r="F22" s="20">
        <v>1.3</v>
      </c>
      <c r="G22" s="20">
        <v>0.3</v>
      </c>
      <c r="H22" s="20">
        <v>1</v>
      </c>
      <c r="I22" s="20">
        <v>0</v>
      </c>
      <c r="J22" s="20">
        <v>1</v>
      </c>
      <c r="K22" s="20">
        <v>0</v>
      </c>
      <c r="L22" s="20">
        <v>0</v>
      </c>
    </row>
    <row r="23" spans="1:12" x14ac:dyDescent="0.25">
      <c r="A23" s="20" t="s">
        <v>339</v>
      </c>
      <c r="B23" s="24">
        <v>41754</v>
      </c>
      <c r="C23" s="24">
        <v>41932</v>
      </c>
      <c r="D23" s="20">
        <v>1E-4</v>
      </c>
      <c r="E23" s="20">
        <v>9.9999999999999995E-8</v>
      </c>
      <c r="F23" s="20">
        <v>1.3</v>
      </c>
      <c r="G23" s="20">
        <v>0.3</v>
      </c>
      <c r="H23" s="20">
        <v>1</v>
      </c>
      <c r="I23" s="20">
        <v>0</v>
      </c>
      <c r="J23" s="20">
        <v>1</v>
      </c>
      <c r="K23" s="20">
        <v>0</v>
      </c>
      <c r="L23" s="20">
        <v>0</v>
      </c>
    </row>
    <row r="24" spans="1:12" x14ac:dyDescent="0.25">
      <c r="A24" s="20" t="s">
        <v>342</v>
      </c>
      <c r="B24" s="24">
        <v>42119</v>
      </c>
      <c r="C24" s="24">
        <v>42297</v>
      </c>
      <c r="D24" s="20">
        <v>1E-4</v>
      </c>
      <c r="E24" s="20">
        <v>9.9999999999999995E-8</v>
      </c>
      <c r="F24" s="20">
        <v>1.3</v>
      </c>
      <c r="G24" s="20">
        <v>0.3</v>
      </c>
      <c r="H24" s="20">
        <v>1</v>
      </c>
      <c r="I24" s="20">
        <v>0</v>
      </c>
      <c r="J24" s="20">
        <v>1</v>
      </c>
      <c r="K24" s="20">
        <v>0</v>
      </c>
      <c r="L24" s="20">
        <v>0</v>
      </c>
    </row>
    <row r="25" spans="1:12" x14ac:dyDescent="0.25">
      <c r="A25" s="20" t="s">
        <v>345</v>
      </c>
      <c r="B25" s="24">
        <v>42485</v>
      </c>
      <c r="C25" s="24">
        <v>42663</v>
      </c>
      <c r="D25" s="20">
        <v>1E-4</v>
      </c>
      <c r="E25" s="20">
        <v>9.9999999999999995E-8</v>
      </c>
      <c r="F25" s="20">
        <v>1.3</v>
      </c>
      <c r="G25" s="20">
        <v>0.3</v>
      </c>
      <c r="H25" s="20">
        <v>1</v>
      </c>
      <c r="I25" s="20">
        <v>0</v>
      </c>
      <c r="J25" s="20">
        <v>1</v>
      </c>
      <c r="K25" s="20">
        <v>0</v>
      </c>
      <c r="L25" s="20">
        <v>0</v>
      </c>
    </row>
    <row r="26" spans="1:12" x14ac:dyDescent="0.25">
      <c r="A26" s="20" t="s">
        <v>348</v>
      </c>
      <c r="B26" s="24">
        <v>42850</v>
      </c>
      <c r="C26" s="24">
        <v>43028</v>
      </c>
      <c r="D26" s="20">
        <v>1E-4</v>
      </c>
      <c r="E26" s="20">
        <v>9.9999999999999995E-8</v>
      </c>
      <c r="F26" s="20">
        <v>1.3</v>
      </c>
      <c r="G26" s="20">
        <v>0.3</v>
      </c>
      <c r="H26" s="20">
        <v>1</v>
      </c>
      <c r="I26" s="20">
        <v>0</v>
      </c>
      <c r="J26" s="20">
        <v>1</v>
      </c>
      <c r="K26" s="20">
        <v>0</v>
      </c>
      <c r="L26" s="20">
        <v>0</v>
      </c>
    </row>
    <row r="27" spans="1:12" x14ac:dyDescent="0.25">
      <c r="A27" s="20" t="s">
        <v>351</v>
      </c>
      <c r="B27" s="24">
        <v>43215</v>
      </c>
      <c r="C27" s="24">
        <v>43393</v>
      </c>
      <c r="D27" s="20">
        <v>1E-4</v>
      </c>
      <c r="E27" s="20">
        <v>9.9999999999999995E-8</v>
      </c>
      <c r="F27" s="20">
        <v>1.3</v>
      </c>
      <c r="G27" s="20">
        <v>0.3</v>
      </c>
      <c r="H27" s="20">
        <v>1</v>
      </c>
      <c r="I27" s="20">
        <v>0</v>
      </c>
      <c r="J27" s="20">
        <v>1</v>
      </c>
      <c r="K27" s="20">
        <v>0</v>
      </c>
      <c r="L27" s="20">
        <v>0</v>
      </c>
    </row>
    <row r="28" spans="1:12" x14ac:dyDescent="0.25">
      <c r="A28" s="20" t="s">
        <v>354</v>
      </c>
      <c r="B28" s="24">
        <v>43580</v>
      </c>
      <c r="C28" s="24">
        <v>43758</v>
      </c>
      <c r="D28" s="20">
        <v>1E-4</v>
      </c>
      <c r="E28" s="20">
        <v>9.9999999999999995E-8</v>
      </c>
      <c r="F28" s="20">
        <v>1.3</v>
      </c>
      <c r="G28" s="20">
        <v>0.3</v>
      </c>
      <c r="H28" s="20">
        <v>1</v>
      </c>
      <c r="I28" s="20">
        <v>0</v>
      </c>
      <c r="J28" s="20">
        <v>1</v>
      </c>
      <c r="K28" s="20">
        <v>0</v>
      </c>
      <c r="L28" s="20">
        <v>0</v>
      </c>
    </row>
    <row r="29" spans="1:12" x14ac:dyDescent="0.25">
      <c r="A29" s="20" t="s">
        <v>357</v>
      </c>
      <c r="B29" s="24">
        <v>43946</v>
      </c>
      <c r="C29" s="24">
        <v>44124</v>
      </c>
      <c r="D29" s="20">
        <v>1E-4</v>
      </c>
      <c r="E29" s="20">
        <v>9.9999999999999995E-8</v>
      </c>
      <c r="F29" s="20">
        <v>1.3</v>
      </c>
      <c r="G29" s="20">
        <v>0.3</v>
      </c>
      <c r="H29" s="20">
        <v>1</v>
      </c>
      <c r="I29" s="20">
        <v>0</v>
      </c>
      <c r="J29" s="20">
        <v>1</v>
      </c>
      <c r="K29" s="20">
        <v>0</v>
      </c>
      <c r="L29" s="20">
        <v>0</v>
      </c>
    </row>
    <row r="30" spans="1:12" x14ac:dyDescent="0.25">
      <c r="A30" s="20" t="s">
        <v>360</v>
      </c>
      <c r="B30" s="24">
        <v>44311</v>
      </c>
      <c r="C30" s="24">
        <v>44489</v>
      </c>
      <c r="D30" s="20">
        <v>1E-4</v>
      </c>
      <c r="E30" s="20">
        <v>9.9999999999999995E-8</v>
      </c>
      <c r="F30" s="20">
        <v>1.3</v>
      </c>
      <c r="G30" s="20">
        <v>0.3</v>
      </c>
      <c r="H30" s="20">
        <v>1</v>
      </c>
      <c r="I30" s="20">
        <v>0</v>
      </c>
      <c r="J30" s="20">
        <v>1</v>
      </c>
      <c r="K30" s="20">
        <v>0</v>
      </c>
      <c r="L30" s="20">
        <v>0</v>
      </c>
    </row>
    <row r="31" spans="1:12" x14ac:dyDescent="0.25">
      <c r="L31"/>
    </row>
    <row r="32" spans="1:12" x14ac:dyDescent="0.25">
      <c r="L32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D4"/>
  <sheetViews>
    <sheetView workbookViewId="0">
      <selection activeCell="A2" sqref="A2:XFD7"/>
    </sheetView>
  </sheetViews>
  <sheetFormatPr defaultRowHeight="15" x14ac:dyDescent="0.25"/>
  <cols>
    <col min="1" max="1" width="15.42578125" customWidth="1"/>
    <col min="2" max="2" width="14.42578125" customWidth="1"/>
    <col min="3" max="3" width="18.5703125" customWidth="1"/>
    <col min="4" max="4" width="13" customWidth="1"/>
    <col min="5" max="5" width="14.7109375" customWidth="1"/>
    <col min="6" max="8" width="16.5703125" customWidth="1"/>
    <col min="12" max="13" width="8.140625" customWidth="1"/>
    <col min="15" max="15" width="18" customWidth="1"/>
    <col min="25" max="25" width="12.28515625" customWidth="1"/>
    <col min="30" max="30" width="17.5703125" customWidth="1"/>
  </cols>
  <sheetData>
    <row r="1" spans="1:30" x14ac:dyDescent="0.25">
      <c r="A1" t="s">
        <v>65</v>
      </c>
      <c r="B1" s="11" t="s">
        <v>171</v>
      </c>
      <c r="C1" s="8" t="s">
        <v>172</v>
      </c>
      <c r="D1" s="8" t="s">
        <v>173</v>
      </c>
      <c r="E1" s="8" t="s">
        <v>174</v>
      </c>
      <c r="F1" s="8" t="s">
        <v>175</v>
      </c>
      <c r="G1" s="8" t="s">
        <v>176</v>
      </c>
      <c r="H1" t="s">
        <v>177</v>
      </c>
      <c r="I1" s="8" t="s">
        <v>178</v>
      </c>
      <c r="J1" s="8" t="s">
        <v>179</v>
      </c>
      <c r="K1" s="8" t="s">
        <v>180</v>
      </c>
      <c r="L1" s="8" t="s">
        <v>181</v>
      </c>
      <c r="M1" s="8" t="s">
        <v>182</v>
      </c>
      <c r="N1" s="8" t="s">
        <v>183</v>
      </c>
      <c r="O1" s="8" t="s">
        <v>184</v>
      </c>
      <c r="P1" s="8" t="s">
        <v>159</v>
      </c>
      <c r="Q1" s="8" t="s">
        <v>185</v>
      </c>
      <c r="R1" s="8" t="s">
        <v>169</v>
      </c>
      <c r="S1" s="8" t="s">
        <v>187</v>
      </c>
      <c r="T1" s="8" t="s">
        <v>186</v>
      </c>
      <c r="U1" s="8" t="s">
        <v>188</v>
      </c>
      <c r="V1" s="8" t="s">
        <v>189</v>
      </c>
      <c r="W1" s="8" t="s">
        <v>190</v>
      </c>
      <c r="X1" s="8" t="s">
        <v>237</v>
      </c>
      <c r="Y1" s="8" t="s">
        <v>238</v>
      </c>
      <c r="Z1" s="8" t="s">
        <v>191</v>
      </c>
      <c r="AA1" s="8" t="s">
        <v>239</v>
      </c>
      <c r="AB1" s="8" t="s">
        <v>192</v>
      </c>
      <c r="AC1" s="8" t="s">
        <v>193</v>
      </c>
      <c r="AD1" s="8" t="s">
        <v>2</v>
      </c>
    </row>
    <row r="2" spans="1:30" ht="15.75" thickBot="1" x14ac:dyDescent="0.3"/>
    <row r="3" spans="1:30" ht="15.75" thickBot="1" x14ac:dyDescent="0.3">
      <c r="A3" s="20" t="s">
        <v>364</v>
      </c>
      <c r="B3" s="25">
        <v>19</v>
      </c>
      <c r="C3" s="25">
        <v>1</v>
      </c>
      <c r="D3" s="25">
        <v>0.53</v>
      </c>
      <c r="E3" s="25">
        <v>0.97799999999999998</v>
      </c>
      <c r="F3" s="25">
        <v>3</v>
      </c>
      <c r="G3" s="25">
        <v>3</v>
      </c>
      <c r="H3" s="20">
        <v>110</v>
      </c>
      <c r="I3" s="20">
        <v>166.7</v>
      </c>
      <c r="J3" s="20">
        <v>31.3</v>
      </c>
      <c r="K3" s="20">
        <v>0.73</v>
      </c>
      <c r="L3" s="20">
        <v>0.55000000000000004</v>
      </c>
      <c r="M3" s="20">
        <v>0.04</v>
      </c>
      <c r="N3" s="21">
        <v>1.059E-4</v>
      </c>
      <c r="O3" s="21">
        <v>2.0000000000000001E-4</v>
      </c>
      <c r="P3" s="20">
        <v>1</v>
      </c>
      <c r="Q3" s="20">
        <v>1</v>
      </c>
      <c r="R3" s="20">
        <v>1</v>
      </c>
      <c r="S3" s="20">
        <v>25</v>
      </c>
      <c r="T3" s="20">
        <v>2.5</v>
      </c>
      <c r="U3" s="20">
        <v>0</v>
      </c>
      <c r="V3" s="20">
        <v>1</v>
      </c>
      <c r="W3" s="20">
        <v>1.7000000000000001E-2</v>
      </c>
      <c r="X3" s="20">
        <v>35</v>
      </c>
      <c r="Y3" s="20">
        <v>0.5</v>
      </c>
      <c r="Z3" s="20">
        <v>0.01</v>
      </c>
      <c r="AA3" s="20">
        <v>17.2</v>
      </c>
      <c r="AB3" s="20">
        <v>0.75</v>
      </c>
      <c r="AC3" s="20">
        <v>0.03</v>
      </c>
    </row>
    <row r="4" spans="1:30" ht="15.75" thickBot="1" x14ac:dyDescent="0.3">
      <c r="A4" s="20" t="s">
        <v>276</v>
      </c>
      <c r="B4" s="25">
        <v>23</v>
      </c>
      <c r="C4" s="25">
        <v>1</v>
      </c>
      <c r="D4" s="25">
        <v>0.53</v>
      </c>
      <c r="E4" s="25">
        <v>0.97799999999999998</v>
      </c>
      <c r="F4" s="25">
        <v>3</v>
      </c>
      <c r="G4" s="25">
        <v>3</v>
      </c>
      <c r="H4" s="20">
        <v>110</v>
      </c>
      <c r="I4" s="20">
        <v>166.7</v>
      </c>
      <c r="J4" s="20">
        <v>31.3</v>
      </c>
      <c r="K4" s="20">
        <v>0.73</v>
      </c>
      <c r="L4" s="20">
        <v>0.55000000000000004</v>
      </c>
      <c r="M4" s="20">
        <v>0.04</v>
      </c>
      <c r="N4" s="21">
        <v>1.059E-4</v>
      </c>
      <c r="O4" s="21">
        <v>2.0000000000000001E-4</v>
      </c>
      <c r="P4" s="20">
        <v>1</v>
      </c>
      <c r="Q4" s="20">
        <v>1</v>
      </c>
      <c r="R4" s="20">
        <v>1</v>
      </c>
      <c r="S4" s="20">
        <v>25</v>
      </c>
      <c r="T4" s="20">
        <v>2.5</v>
      </c>
      <c r="U4" s="20">
        <v>0</v>
      </c>
      <c r="V4" s="20">
        <v>1</v>
      </c>
      <c r="W4" s="20">
        <v>1.7000000000000001E-2</v>
      </c>
      <c r="X4" s="20">
        <v>35</v>
      </c>
      <c r="Y4" s="20">
        <v>0.5</v>
      </c>
      <c r="Z4" s="20">
        <v>0.01</v>
      </c>
      <c r="AA4" s="20">
        <v>17.2</v>
      </c>
      <c r="AB4" s="20">
        <v>0.75</v>
      </c>
      <c r="AC4" s="20">
        <v>0.03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E29"/>
  <sheetViews>
    <sheetView workbookViewId="0">
      <selection activeCell="A2" sqref="A2:XFD7"/>
    </sheetView>
  </sheetViews>
  <sheetFormatPr defaultRowHeight="15" x14ac:dyDescent="0.25"/>
  <cols>
    <col min="2" max="2" width="16.28515625" customWidth="1"/>
    <col min="3" max="3" width="28.5703125" customWidth="1"/>
  </cols>
  <sheetData>
    <row r="1" spans="1:5" x14ac:dyDescent="0.25">
      <c r="A1" t="s">
        <v>61</v>
      </c>
      <c r="B1" t="s">
        <v>60</v>
      </c>
      <c r="C1" t="s">
        <v>62</v>
      </c>
      <c r="D1" t="s">
        <v>63</v>
      </c>
      <c r="E1" t="s">
        <v>64</v>
      </c>
    </row>
    <row r="3" spans="1:5" x14ac:dyDescent="0.25">
      <c r="A3" s="20" t="s">
        <v>281</v>
      </c>
      <c r="B3" s="20" t="s">
        <v>248</v>
      </c>
      <c r="C3" s="20" t="s">
        <v>365</v>
      </c>
      <c r="D3" s="20" t="s">
        <v>6</v>
      </c>
      <c r="E3" s="20" t="s">
        <v>25</v>
      </c>
    </row>
    <row r="4" spans="1:5" x14ac:dyDescent="0.25">
      <c r="A4" s="20" t="s">
        <v>281</v>
      </c>
      <c r="B4" s="20" t="s">
        <v>249</v>
      </c>
      <c r="C4" s="20" t="s">
        <v>365</v>
      </c>
      <c r="D4" s="20" t="s">
        <v>6</v>
      </c>
      <c r="E4" s="20" t="s">
        <v>25</v>
      </c>
    </row>
    <row r="5" spans="1:5" x14ac:dyDescent="0.25">
      <c r="A5" s="20" t="s">
        <v>281</v>
      </c>
      <c r="B5" s="20" t="s">
        <v>250</v>
      </c>
      <c r="C5" s="20" t="s">
        <v>365</v>
      </c>
      <c r="D5" s="20" t="s">
        <v>6</v>
      </c>
      <c r="E5" s="20" t="s">
        <v>25</v>
      </c>
    </row>
    <row r="6" spans="1:5" x14ac:dyDescent="0.25">
      <c r="A6" s="20" t="s">
        <v>281</v>
      </c>
      <c r="B6" s="20" t="s">
        <v>251</v>
      </c>
      <c r="C6" s="20" t="s">
        <v>365</v>
      </c>
      <c r="D6" s="20" t="s">
        <v>6</v>
      </c>
      <c r="E6" s="20" t="s">
        <v>25</v>
      </c>
    </row>
    <row r="7" spans="1:5" x14ac:dyDescent="0.25">
      <c r="A7" s="20" t="s">
        <v>281</v>
      </c>
      <c r="B7" s="20" t="s">
        <v>252</v>
      </c>
      <c r="C7" s="20" t="s">
        <v>365</v>
      </c>
      <c r="D7" s="20" t="s">
        <v>6</v>
      </c>
      <c r="E7" s="20" t="s">
        <v>25</v>
      </c>
    </row>
    <row r="8" spans="1:5" x14ac:dyDescent="0.25">
      <c r="A8" s="20" t="s">
        <v>281</v>
      </c>
      <c r="B8" s="20" t="s">
        <v>253</v>
      </c>
      <c r="C8" s="20" t="s">
        <v>365</v>
      </c>
      <c r="D8" s="20" t="s">
        <v>6</v>
      </c>
      <c r="E8" s="20" t="s">
        <v>25</v>
      </c>
    </row>
    <row r="9" spans="1:5" x14ac:dyDescent="0.25">
      <c r="A9" s="20" t="s">
        <v>281</v>
      </c>
      <c r="B9" s="20" t="s">
        <v>254</v>
      </c>
      <c r="C9" s="20" t="s">
        <v>365</v>
      </c>
      <c r="D9" s="20" t="s">
        <v>6</v>
      </c>
      <c r="E9" s="20" t="s">
        <v>25</v>
      </c>
    </row>
    <row r="10" spans="1:5" x14ac:dyDescent="0.25">
      <c r="A10" s="20" t="s">
        <v>281</v>
      </c>
      <c r="B10" s="20" t="s">
        <v>255</v>
      </c>
      <c r="C10" s="20" t="s">
        <v>365</v>
      </c>
      <c r="D10" s="20" t="s">
        <v>6</v>
      </c>
      <c r="E10" s="20" t="s">
        <v>25</v>
      </c>
    </row>
    <row r="11" spans="1:5" x14ac:dyDescent="0.25">
      <c r="A11" s="20" t="s">
        <v>281</v>
      </c>
      <c r="B11" s="20" t="s">
        <v>256</v>
      </c>
      <c r="C11" s="20" t="s">
        <v>365</v>
      </c>
      <c r="D11" s="20" t="s">
        <v>6</v>
      </c>
      <c r="E11" s="20" t="s">
        <v>25</v>
      </c>
    </row>
    <row r="12" spans="1:5" x14ac:dyDescent="0.25">
      <c r="A12" s="20" t="s">
        <v>281</v>
      </c>
      <c r="B12" s="20" t="s">
        <v>257</v>
      </c>
      <c r="C12" s="20" t="s">
        <v>365</v>
      </c>
      <c r="D12" s="20" t="s">
        <v>6</v>
      </c>
      <c r="E12" s="20" t="s">
        <v>25</v>
      </c>
    </row>
    <row r="13" spans="1:5" x14ac:dyDescent="0.25">
      <c r="A13" s="20" t="s">
        <v>281</v>
      </c>
      <c r="B13" s="20" t="s">
        <v>258</v>
      </c>
      <c r="C13" s="20" t="s">
        <v>365</v>
      </c>
      <c r="D13" s="20" t="s">
        <v>6</v>
      </c>
      <c r="E13" s="20" t="s">
        <v>25</v>
      </c>
    </row>
    <row r="14" spans="1:5" x14ac:dyDescent="0.25">
      <c r="A14" s="20" t="s">
        <v>281</v>
      </c>
      <c r="B14" s="20" t="s">
        <v>259</v>
      </c>
      <c r="C14" s="20" t="s">
        <v>365</v>
      </c>
      <c r="D14" s="20" t="s">
        <v>6</v>
      </c>
      <c r="E14" s="20" t="s">
        <v>25</v>
      </c>
    </row>
    <row r="15" spans="1:5" x14ac:dyDescent="0.25">
      <c r="A15" s="20" t="s">
        <v>281</v>
      </c>
      <c r="B15" s="20" t="s">
        <v>260</v>
      </c>
      <c r="C15" s="20" t="s">
        <v>365</v>
      </c>
      <c r="D15" s="20" t="s">
        <v>6</v>
      </c>
      <c r="E15" s="20" t="s">
        <v>25</v>
      </c>
    </row>
    <row r="16" spans="1:5" x14ac:dyDescent="0.25">
      <c r="A16" s="20"/>
      <c r="B16" s="20"/>
      <c r="C16" s="20"/>
      <c r="D16" s="20"/>
      <c r="E16" s="20"/>
    </row>
    <row r="17" spans="1:5" x14ac:dyDescent="0.25">
      <c r="A17" s="20" t="s">
        <v>325</v>
      </c>
      <c r="B17" s="20" t="s">
        <v>262</v>
      </c>
      <c r="C17" s="20" t="s">
        <v>365</v>
      </c>
      <c r="D17" s="20" t="s">
        <v>6</v>
      </c>
      <c r="E17" s="20" t="s">
        <v>25</v>
      </c>
    </row>
    <row r="18" spans="1:5" x14ac:dyDescent="0.25">
      <c r="A18" s="20" t="s">
        <v>325</v>
      </c>
      <c r="B18" s="20" t="s">
        <v>263</v>
      </c>
      <c r="C18" s="20" t="s">
        <v>365</v>
      </c>
      <c r="D18" s="20" t="s">
        <v>6</v>
      </c>
      <c r="E18" s="20" t="s">
        <v>25</v>
      </c>
    </row>
    <row r="19" spans="1:5" x14ac:dyDescent="0.25">
      <c r="A19" s="20" t="s">
        <v>325</v>
      </c>
      <c r="B19" s="20" t="s">
        <v>264</v>
      </c>
      <c r="C19" s="20" t="s">
        <v>365</v>
      </c>
      <c r="D19" s="20" t="s">
        <v>6</v>
      </c>
      <c r="E19" s="20" t="s">
        <v>25</v>
      </c>
    </row>
    <row r="20" spans="1:5" x14ac:dyDescent="0.25">
      <c r="A20" s="20" t="s">
        <v>325</v>
      </c>
      <c r="B20" s="20" t="s">
        <v>265</v>
      </c>
      <c r="C20" s="20" t="s">
        <v>365</v>
      </c>
      <c r="D20" s="20" t="s">
        <v>6</v>
      </c>
      <c r="E20" s="20" t="s">
        <v>25</v>
      </c>
    </row>
    <row r="21" spans="1:5" x14ac:dyDescent="0.25">
      <c r="A21" s="20" t="s">
        <v>325</v>
      </c>
      <c r="B21" s="20" t="s">
        <v>266</v>
      </c>
      <c r="C21" s="20" t="s">
        <v>365</v>
      </c>
      <c r="D21" s="20" t="s">
        <v>6</v>
      </c>
      <c r="E21" s="20" t="s">
        <v>25</v>
      </c>
    </row>
    <row r="22" spans="1:5" x14ac:dyDescent="0.25">
      <c r="A22" s="20" t="s">
        <v>325</v>
      </c>
      <c r="B22" s="20" t="s">
        <v>267</v>
      </c>
      <c r="C22" s="20" t="s">
        <v>365</v>
      </c>
      <c r="D22" s="20" t="s">
        <v>6</v>
      </c>
      <c r="E22" s="20" t="s">
        <v>25</v>
      </c>
    </row>
    <row r="23" spans="1:5" x14ac:dyDescent="0.25">
      <c r="A23" s="20" t="s">
        <v>325</v>
      </c>
      <c r="B23" s="20" t="s">
        <v>268</v>
      </c>
      <c r="C23" s="20" t="s">
        <v>365</v>
      </c>
      <c r="D23" s="20" t="s">
        <v>6</v>
      </c>
      <c r="E23" s="20" t="s">
        <v>25</v>
      </c>
    </row>
    <row r="24" spans="1:5" x14ac:dyDescent="0.25">
      <c r="A24" s="20" t="s">
        <v>325</v>
      </c>
      <c r="B24" s="20" t="s">
        <v>269</v>
      </c>
      <c r="C24" s="20" t="s">
        <v>365</v>
      </c>
      <c r="D24" s="20" t="s">
        <v>6</v>
      </c>
      <c r="E24" s="20" t="s">
        <v>25</v>
      </c>
    </row>
    <row r="25" spans="1:5" x14ac:dyDescent="0.25">
      <c r="A25" s="20" t="s">
        <v>325</v>
      </c>
      <c r="B25" s="20" t="s">
        <v>270</v>
      </c>
      <c r="C25" s="20" t="s">
        <v>365</v>
      </c>
      <c r="D25" s="20" t="s">
        <v>6</v>
      </c>
      <c r="E25" s="20" t="s">
        <v>25</v>
      </c>
    </row>
    <row r="26" spans="1:5" x14ac:dyDescent="0.25">
      <c r="A26" s="20" t="s">
        <v>325</v>
      </c>
      <c r="B26" s="20" t="s">
        <v>271</v>
      </c>
      <c r="C26" s="20" t="s">
        <v>365</v>
      </c>
      <c r="D26" s="20" t="s">
        <v>6</v>
      </c>
      <c r="E26" s="20" t="s">
        <v>25</v>
      </c>
    </row>
    <row r="27" spans="1:5" x14ac:dyDescent="0.25">
      <c r="A27" s="20" t="s">
        <v>325</v>
      </c>
      <c r="B27" s="20" t="s">
        <v>272</v>
      </c>
      <c r="C27" s="20" t="s">
        <v>365</v>
      </c>
      <c r="D27" s="20" t="s">
        <v>6</v>
      </c>
      <c r="E27" s="20" t="s">
        <v>25</v>
      </c>
    </row>
    <row r="28" spans="1:5" x14ac:dyDescent="0.25">
      <c r="A28" s="20" t="s">
        <v>325</v>
      </c>
      <c r="B28" s="20" t="s">
        <v>273</v>
      </c>
      <c r="C28" s="20" t="s">
        <v>365</v>
      </c>
      <c r="D28" s="20" t="s">
        <v>6</v>
      </c>
      <c r="E28" s="20" t="s">
        <v>25</v>
      </c>
    </row>
    <row r="29" spans="1:5" x14ac:dyDescent="0.25">
      <c r="A29" s="20" t="s">
        <v>325</v>
      </c>
      <c r="B29" s="20" t="s">
        <v>274</v>
      </c>
      <c r="C29" s="20" t="s">
        <v>365</v>
      </c>
      <c r="D29" s="20" t="s">
        <v>6</v>
      </c>
      <c r="E29" s="20" t="s">
        <v>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C260-045B-494F-96B8-C4B2D07CC3E3}">
  <sheetPr codeName="Sheet16"/>
  <dimension ref="A1:L2"/>
  <sheetViews>
    <sheetView workbookViewId="0">
      <selection activeCell="B7" sqref="B7"/>
    </sheetView>
  </sheetViews>
  <sheetFormatPr defaultColWidth="8.85546875" defaultRowHeight="15" x14ac:dyDescent="0.25"/>
  <cols>
    <col min="1" max="1" width="14.85546875" style="16" bestFit="1" customWidth="1"/>
    <col min="2" max="2" width="25.28515625" style="16" bestFit="1" customWidth="1"/>
    <col min="3" max="3" width="13.85546875" style="16" bestFit="1" customWidth="1"/>
    <col min="4" max="4" width="11.140625" style="16" bestFit="1" customWidth="1"/>
    <col min="5" max="5" width="10.28515625" style="16" bestFit="1" customWidth="1"/>
    <col min="6" max="6" width="10.5703125" style="16" bestFit="1" customWidth="1"/>
    <col min="7" max="7" width="13.140625" style="16" bestFit="1" customWidth="1"/>
    <col min="8" max="8" width="12.140625" style="16" bestFit="1" customWidth="1"/>
    <col min="9" max="9" width="12.42578125" style="16" bestFit="1" customWidth="1"/>
    <col min="10" max="10" width="13.5703125" style="16" bestFit="1" customWidth="1"/>
    <col min="11" max="11" width="12.5703125" style="16" bestFit="1" customWidth="1"/>
    <col min="12" max="12" width="12.85546875" style="16" bestFit="1" customWidth="1"/>
    <col min="13" max="16384" width="8.85546875" style="16"/>
  </cols>
  <sheetData>
    <row r="1" spans="1:12" x14ac:dyDescent="0.25">
      <c r="A1" s="16" t="s">
        <v>49</v>
      </c>
      <c r="B1" s="16" t="s">
        <v>203</v>
      </c>
      <c r="C1" s="16" t="s">
        <v>37</v>
      </c>
      <c r="D1" s="19" t="s">
        <v>194</v>
      </c>
      <c r="E1" s="19" t="s">
        <v>195</v>
      </c>
      <c r="F1" s="19" t="s">
        <v>196</v>
      </c>
      <c r="G1" s="19" t="s">
        <v>197</v>
      </c>
      <c r="H1" s="19" t="s">
        <v>198</v>
      </c>
      <c r="I1" s="19" t="s">
        <v>199</v>
      </c>
      <c r="J1" s="19" t="s">
        <v>200</v>
      </c>
      <c r="K1" s="19" t="s">
        <v>201</v>
      </c>
      <c r="L1" s="19" t="s">
        <v>202</v>
      </c>
    </row>
    <row r="2" spans="1:12" x14ac:dyDescent="0.25">
      <c r="A2" s="16" t="s">
        <v>36</v>
      </c>
      <c r="B2" s="16">
        <v>0.6</v>
      </c>
      <c r="C2" s="16">
        <v>0.1</v>
      </c>
      <c r="D2" s="16">
        <v>0.2</v>
      </c>
      <c r="E2" s="16">
        <v>0.7</v>
      </c>
      <c r="F2" s="16">
        <v>0.1</v>
      </c>
      <c r="G2" s="16">
        <v>0.08</v>
      </c>
      <c r="H2" s="16">
        <v>0.01</v>
      </c>
      <c r="I2" s="16">
        <v>0.01</v>
      </c>
      <c r="J2" s="16">
        <v>0.42499999999999999</v>
      </c>
      <c r="K2" s="16">
        <v>0.24</v>
      </c>
      <c r="L2" s="16">
        <v>2.2800000000000001E-2</v>
      </c>
    </row>
  </sheetData>
  <pageMargins left="0.7" right="0.7" top="0.75" bottom="0.75" header="0.3" footer="0.3"/>
  <pageSetup orientation="portrait" horizontalDpi="30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59C2-B851-4956-A7BA-5B8FBABCF390}">
  <sheetPr codeName="Sheet18"/>
  <dimension ref="A1:O4"/>
  <sheetViews>
    <sheetView workbookViewId="0">
      <selection activeCell="A2" sqref="A2:P3"/>
    </sheetView>
  </sheetViews>
  <sheetFormatPr defaultRowHeight="15" x14ac:dyDescent="0.25"/>
  <cols>
    <col min="1" max="1" width="10.85546875" customWidth="1"/>
    <col min="2" max="2" width="18.85546875" customWidth="1"/>
    <col min="4" max="4" width="23.7109375" customWidth="1"/>
    <col min="5" max="5" width="19.140625" customWidth="1"/>
    <col min="6" max="6" width="15.42578125" customWidth="1"/>
    <col min="7" max="7" width="15.28515625" customWidth="1"/>
    <col min="8" max="8" width="8.7109375" customWidth="1"/>
    <col min="9" max="9" width="14.28515625" customWidth="1"/>
    <col min="10" max="10" width="11.85546875" customWidth="1"/>
  </cols>
  <sheetData>
    <row r="1" spans="1:15" x14ac:dyDescent="0.25">
      <c r="A1" s="19" t="s">
        <v>49</v>
      </c>
      <c r="B1" s="19" t="s">
        <v>204</v>
      </c>
      <c r="C1" s="19" t="s">
        <v>205</v>
      </c>
      <c r="D1" s="19" t="s">
        <v>232</v>
      </c>
      <c r="E1" s="19" t="s">
        <v>206</v>
      </c>
      <c r="F1" s="19" t="s">
        <v>233</v>
      </c>
      <c r="G1" s="19" t="s">
        <v>234</v>
      </c>
      <c r="H1" s="19" t="s">
        <v>207</v>
      </c>
      <c r="I1" s="19" t="s">
        <v>40</v>
      </c>
      <c r="J1" s="19" t="s">
        <v>41</v>
      </c>
      <c r="K1" s="19" t="s">
        <v>208</v>
      </c>
      <c r="L1" s="19" t="s">
        <v>209</v>
      </c>
      <c r="M1" s="19" t="s">
        <v>42</v>
      </c>
      <c r="N1" s="19" t="s">
        <v>43</v>
      </c>
      <c r="O1" s="19" t="s">
        <v>235</v>
      </c>
    </row>
    <row r="2" spans="1:15" x14ac:dyDescent="0.25">
      <c r="A2" t="s">
        <v>38</v>
      </c>
      <c r="B2">
        <v>2</v>
      </c>
      <c r="C2">
        <v>0</v>
      </c>
      <c r="D2">
        <v>0</v>
      </c>
      <c r="E2">
        <v>1</v>
      </c>
      <c r="F2">
        <v>0.3</v>
      </c>
      <c r="G2">
        <v>0.3</v>
      </c>
      <c r="H2">
        <v>0.6</v>
      </c>
      <c r="I2">
        <v>1</v>
      </c>
      <c r="J2">
        <v>0.3</v>
      </c>
      <c r="K2">
        <v>10</v>
      </c>
      <c r="L2">
        <v>0.01</v>
      </c>
      <c r="M2">
        <v>400000</v>
      </c>
      <c r="N2">
        <v>0.8</v>
      </c>
      <c r="O2">
        <v>1</v>
      </c>
    </row>
    <row r="4" spans="1:15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E0FC-62AA-49FB-992E-21F5228F540F}">
  <sheetPr codeName="Sheet20"/>
  <dimension ref="A1:K2"/>
  <sheetViews>
    <sheetView tabSelected="1" workbookViewId="0">
      <selection activeCell="L44" sqref="L44"/>
    </sheetView>
  </sheetViews>
  <sheetFormatPr defaultRowHeight="15" x14ac:dyDescent="0.25"/>
  <cols>
    <col min="1" max="1" width="14.5703125" customWidth="1"/>
    <col min="5" max="5" width="16.28515625" customWidth="1"/>
    <col min="11" max="11" width="17.140625" customWidth="1"/>
  </cols>
  <sheetData>
    <row r="1" spans="1:11" x14ac:dyDescent="0.25">
      <c r="A1" t="s">
        <v>49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241</v>
      </c>
      <c r="I1" t="s">
        <v>240</v>
      </c>
      <c r="J1" t="s">
        <v>216</v>
      </c>
      <c r="K1" t="s">
        <v>217</v>
      </c>
    </row>
    <row r="2" spans="1:11" x14ac:dyDescent="0.25">
      <c r="A2" t="s">
        <v>56</v>
      </c>
      <c r="B2">
        <v>20</v>
      </c>
      <c r="C2">
        <v>0.01</v>
      </c>
      <c r="D2">
        <v>0.05</v>
      </c>
      <c r="E2" s="6">
        <v>-100000</v>
      </c>
      <c r="F2" s="6">
        <v>-1E-3</v>
      </c>
      <c r="G2">
        <v>0.02</v>
      </c>
      <c r="H2">
        <v>1E-3</v>
      </c>
      <c r="I2">
        <v>1000</v>
      </c>
      <c r="J2">
        <v>0.5</v>
      </c>
      <c r="K2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EABF47CD1113448A96A17F6C8D13F9" ma:contentTypeVersion="16" ma:contentTypeDescription="Create a new document." ma:contentTypeScope="" ma:versionID="7311fef60352e88f4b9443ae6054e348">
  <xsd:schema xmlns:xsd="http://www.w3.org/2001/XMLSchema" xmlns:xs="http://www.w3.org/2001/XMLSchema" xmlns:p="http://schemas.microsoft.com/office/2006/metadata/properties" xmlns:ns2="a5f42ec3-4ee2-45fc-8d77-288bf2f0f986" xmlns:ns3="73fb875a-8af9-4255-b008-0995492d31cd" xmlns:ns4="442dd8d0-93bc-4a15-a2cd-49423a906912" targetNamespace="http://schemas.microsoft.com/office/2006/metadata/properties" ma:root="true" ma:fieldsID="9b0d56527342f170746fba6a759d94c8" ns2:_="" ns3:_="" ns4:_="">
    <xsd:import namespace="a5f42ec3-4ee2-45fc-8d77-288bf2f0f986"/>
    <xsd:import namespace="73fb875a-8af9-4255-b008-0995492d31cd"/>
    <xsd:import namespace="442dd8d0-93bc-4a15-a2cd-49423a906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42ec3-4ee2-45fc-8d77-288bf2f0f9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7211ec7-9289-48e1-8a25-db087204c2aa}" ma:internalName="TaxCatchAll" ma:showField="CatchAllData" ma:web="442dd8d0-93bc-4a15-a2cd-49423a906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dd8d0-93bc-4a15-a2cd-49423a90691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f42ec3-4ee2-45fc-8d77-288bf2f0f986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1692C98F-2AAD-43CD-92C9-AE738EC8989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22486BB-FA24-4C53-AD00-0F503C9C1D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f42ec3-4ee2-45fc-8d77-288bf2f0f986"/>
    <ds:schemaRef ds:uri="73fb875a-8af9-4255-b008-0995492d31cd"/>
    <ds:schemaRef ds:uri="442dd8d0-93bc-4a15-a2cd-49423a906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B7658E-812E-4AEC-8123-B1178939A84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180E3CB-5584-44EA-A119-B2D7F5CA9805}">
  <ds:schemaRefs>
    <ds:schemaRef ds:uri="http://schemas.microsoft.com/office/2006/metadata/properties"/>
    <ds:schemaRef ds:uri="http://schemas.microsoft.com/office/infopath/2007/PartnerControls"/>
    <ds:schemaRef ds:uri="a5f42ec3-4ee2-45fc-8d77-288bf2f0f986"/>
    <ds:schemaRef ds:uri="73fb875a-8af9-4255-b008-0995492d31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Description</vt:lpstr>
      <vt:lpstr>Biology</vt:lpstr>
      <vt:lpstr>Climate</vt:lpstr>
      <vt:lpstr>Fertilization</vt:lpstr>
      <vt:lpstr>Tillage</vt:lpstr>
      <vt:lpstr>GridRatio</vt:lpstr>
      <vt:lpstr>Irrig_data</vt:lpstr>
      <vt:lpstr>Irrig</vt:lpstr>
      <vt:lpstr>Drip</vt:lpstr>
      <vt:lpstr>DripNodes</vt:lpstr>
      <vt:lpstr>Init</vt:lpstr>
      <vt:lpstr>Gas</vt:lpstr>
      <vt:lpstr>Soil</vt:lpstr>
      <vt:lpstr>Gas_new</vt:lpstr>
      <vt:lpstr>Solute</vt:lpstr>
      <vt:lpstr>Time</vt:lpstr>
      <vt:lpstr>Variety</vt:lpstr>
      <vt:lpstr>Weather</vt:lpstr>
      <vt:lpstr>MulchDecomp</vt:lpstr>
      <vt:lpstr>MulchGeo</vt:lpstr>
      <vt:lpstr>WaterMovParam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2026-01-06T23:27:18Z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86512906-aba3-4083-9b01-c952a21f3e93</vt:lpwstr>
  </property>
  <property fmtid="{D5CDD505-2E9C-101B-9397-08002B2CF9AE}" pid="3" name="ContentTypeId">
    <vt:lpwstr>0x01010086EABF47CD1113448A96A17F6C8D13F9</vt:lpwstr>
  </property>
</Properties>
</file>